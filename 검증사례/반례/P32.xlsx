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실험기록" sheetId="1" state="visible" r:id="rId1"/>
    <sheet xmlns:r="http://schemas.openxmlformats.org/officeDocument/2006/relationships" name="계산설정" sheetId="2" state="visible" r:id="rId2"/>
    <sheet xmlns:r="http://schemas.openxmlformats.org/officeDocument/2006/relationships" name="배출계수" sheetId="3" state="visible" r:id="rId3"/>
    <sheet xmlns:r="http://schemas.openxmlformats.org/officeDocument/2006/relationships" name="작성예시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00"/>
    <numFmt numFmtId="166" formatCode="0.0000"/>
    <numFmt numFmtId="167" formatCode="0.0"/>
  </numFmts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oto Sans CJK SC"/>
      <family val="2"/>
      <b val="1"/>
      <color rgb="FFFFFFFF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000000"/>
      <sz val="10"/>
    </font>
    <font>
      <name val="Noto Sans CJK SC"/>
      <family val="2"/>
      <color rgb="FF000000"/>
      <sz val="10"/>
    </font>
    <font>
      <name val="Noto Sans CJK SC"/>
      <family val="2"/>
      <color rgb="FFC00000"/>
      <sz val="10"/>
    </font>
    <font>
      <name val="Arial"/>
      <charset val="1"/>
      <family val="0"/>
      <color rgb="FFC00000"/>
      <sz val="10"/>
    </font>
  </fonts>
  <fills count="7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7F7F7F"/>
        <bgColor rgb="FF969696"/>
      </patternFill>
    </fill>
    <fill>
      <patternFill patternType="solid">
        <fgColor rgb="FFFFF2CC"/>
        <bgColor rgb="FFFDE9E7"/>
      </patternFill>
    </fill>
    <fill>
      <patternFill patternType="solid">
        <fgColor rgb="FFF2F2F2"/>
        <bgColor rgb="FFFDE9E7"/>
      </patternFill>
    </fill>
    <fill>
      <patternFill patternType="solid">
        <fgColor rgb="FFFDE9E7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center" wrapText="1"/>
    </xf>
    <xf numFmtId="0" fontId="6" fillId="0" borderId="1" applyAlignment="1" pivotButton="0" quotePrefix="0" xfId="0">
      <alignment horizontal="general" vertical="center" wrapText="1"/>
    </xf>
    <xf numFmtId="0" fontId="7" fillId="5" borderId="0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general" vertical="center" wrapText="1"/>
    </xf>
    <xf numFmtId="164" fontId="6" fillId="0" borderId="1" applyAlignment="1" pivotButton="0" quotePrefix="0" xfId="0">
      <alignment horizontal="general" vertical="center" wrapText="1"/>
    </xf>
    <xf numFmtId="164" fontId="6" fillId="6" borderId="1" applyAlignment="1" pivotButton="0" quotePrefix="0" xfId="0">
      <alignment horizontal="general" vertical="center" wrapText="1"/>
    </xf>
    <xf numFmtId="0" fontId="6" fillId="6" borderId="1" applyAlignment="1" pivotButton="0" quotePrefix="0" xfId="0">
      <alignment horizontal="general" vertical="center" wrapText="1"/>
    </xf>
    <xf numFmtId="0" fontId="8" fillId="0" borderId="1" applyAlignment="1" pivotButton="0" quotePrefix="0" xfId="0">
      <alignment horizontal="general" vertical="center" wrapText="1"/>
    </xf>
    <xf numFmtId="0" fontId="7" fillId="5" borderId="1" applyAlignment="1" pivotButton="0" quotePrefix="0" xfId="0">
      <alignment horizontal="general" vertical="center" wrapText="1"/>
    </xf>
    <xf numFmtId="165" fontId="6" fillId="0" borderId="1" applyAlignment="1" pivotButton="0" quotePrefix="0" xfId="0">
      <alignment horizontal="general" vertical="center" wrapText="1"/>
    </xf>
    <xf numFmtId="0" fontId="6" fillId="5" borderId="1" applyAlignment="1" pivotButton="0" quotePrefix="0" xfId="0">
      <alignment horizontal="general" vertical="center" wrapText="1"/>
    </xf>
    <xf numFmtId="166" fontId="6" fillId="0" borderId="1" applyAlignment="1" pivotButton="0" quotePrefix="0" xfId="0">
      <alignment horizontal="general" vertical="center" wrapText="1"/>
    </xf>
    <xf numFmtId="2" fontId="6" fillId="0" borderId="1" applyAlignment="1" pivotButton="0" quotePrefix="0" xfId="0">
      <alignment horizontal="general" vertical="center" wrapText="1"/>
    </xf>
    <xf numFmtId="167" fontId="6" fillId="0" borderId="1" applyAlignment="1" pivotButton="0" quotePrefix="0" xfId="0">
      <alignment horizontal="general" vertical="center" wrapText="1"/>
    </xf>
    <xf numFmtId="49" fontId="6" fillId="0" borderId="1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center" wrapText="1"/>
    </xf>
    <xf numFmtId="0" fontId="6" fillId="0" borderId="1" applyAlignment="1" pivotButton="0" quotePrefix="0" xfId="0">
      <alignment horizontal="general" vertical="center" wrapText="1"/>
    </xf>
    <xf numFmtId="0" fontId="7" fillId="5" borderId="0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center" wrapText="1"/>
    </xf>
    <xf numFmtId="164" fontId="6" fillId="0" borderId="1" applyAlignment="1" pivotButton="0" quotePrefix="0" xfId="0">
      <alignment horizontal="general" vertical="center" wrapText="1"/>
    </xf>
    <xf numFmtId="164" fontId="6" fillId="6" borderId="1" applyAlignment="1" pivotButton="0" quotePrefix="0" xfId="0">
      <alignment horizontal="general" vertical="center" wrapText="1"/>
    </xf>
    <xf numFmtId="0" fontId="6" fillId="6" borderId="1" applyAlignment="1" pivotButton="0" quotePrefix="0" xfId="0">
      <alignment horizontal="general" vertical="center" wrapText="1"/>
    </xf>
    <xf numFmtId="0" fontId="8" fillId="0" borderId="1" applyAlignment="1" pivotButton="0" quotePrefix="0" xfId="0">
      <alignment horizontal="general" vertical="center" wrapText="1"/>
    </xf>
    <xf numFmtId="0" fontId="6" fillId="4" borderId="1" applyAlignment="1" pivotButton="0" quotePrefix="0" xfId="0">
      <alignment horizontal="general" vertical="center" wrapText="1"/>
    </xf>
    <xf numFmtId="0" fontId="7" fillId="5" borderId="1" applyAlignment="1" pivotButton="0" quotePrefix="0" xfId="0">
      <alignment horizontal="general" vertical="center" wrapText="1"/>
    </xf>
    <xf numFmtId="165" fontId="6" fillId="0" borderId="1" applyAlignment="1" pivotButton="0" quotePrefix="0" xfId="0">
      <alignment horizontal="general" vertical="center" wrapText="1"/>
    </xf>
    <xf numFmtId="0" fontId="6" fillId="5" borderId="1" applyAlignment="1" pivotButton="0" quotePrefix="0" xfId="0">
      <alignment horizontal="general" vertical="center" wrapText="1"/>
    </xf>
    <xf numFmtId="166" fontId="6" fillId="0" borderId="1" applyAlignment="1" pivotButton="0" quotePrefix="0" xfId="0">
      <alignment horizontal="general" vertical="center" wrapText="1"/>
    </xf>
    <xf numFmtId="2" fontId="6" fillId="0" borderId="1" applyAlignment="1" pivotButton="0" quotePrefix="0" xfId="0">
      <alignment horizontal="general" vertical="center" wrapText="1"/>
    </xf>
    <xf numFmtId="167" fontId="6" fillId="0" borderId="1" applyAlignment="1" pivotButton="0" quotePrefix="0" xfId="0">
      <alignment horizontal="general" vertical="center" wrapText="1"/>
    </xf>
    <xf numFmtId="49" fontId="6" fillId="0" borderId="1" applyAlignment="1" pivotButton="0" quotePrefix="0" xfId="0">
      <alignment horizontal="general" vertical="center" wrapText="1"/>
    </xf>
    <xf numFmtId="0" fontId="7" fillId="4" borderId="1" applyAlignment="1" pivotButton="0" quotePrefix="0" xfId="0">
      <alignment horizontal="general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E9E7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19" min="1" max="1"/>
    <col width="7" customWidth="1" style="19" min="2" max="2"/>
    <col width="24" customWidth="1" style="19" min="3" max="3"/>
    <col width="11" customWidth="1" style="19" min="4" max="4"/>
    <col width="10" customWidth="1" style="19" min="5" max="5"/>
    <col width="9" customWidth="1" style="19" min="6" max="6"/>
    <col width="44" customWidth="1" style="19" min="7" max="7"/>
    <col width="9" customWidth="1" style="19" min="8" max="8"/>
    <col width="16" customWidth="1" style="19" min="9" max="9"/>
    <col width="58" customWidth="1" style="19" min="10" max="10"/>
    <col width="3" customWidth="1" style="19" min="11" max="11"/>
    <col width="62" customWidth="1" style="19" min="12" max="12"/>
  </cols>
  <sheetData>
    <row r="1" ht="30" customHeight="1" s="20">
      <c r="A1" s="21" t="inlineStr">
        <is>
          <t>실험ID</t>
        </is>
      </c>
      <c r="B1" s="21" t="inlineStr">
        <is>
          <t>구간</t>
        </is>
      </c>
      <c r="C1" s="21" t="inlineStr">
        <is>
          <t>항목</t>
        </is>
      </c>
      <c r="D1" s="21" t="inlineStr">
        <is>
          <t>항목코드</t>
        </is>
      </c>
      <c r="E1" s="21" t="inlineStr">
        <is>
          <t>값</t>
        </is>
      </c>
      <c r="F1" s="21" t="inlineStr">
        <is>
          <t>단위</t>
        </is>
      </c>
      <c r="G1" s="21" t="inlineStr">
        <is>
          <t>측정 구간 설명</t>
        </is>
      </c>
      <c r="H1" s="21" t="inlineStr">
        <is>
          <t>필수/선택</t>
        </is>
      </c>
      <c r="I1" s="21" t="inlineStr">
        <is>
          <t>확보 구분</t>
        </is>
      </c>
      <c r="J1" s="21" t="inlineStr">
        <is>
          <t>비고</t>
        </is>
      </c>
      <c r="L1" s="22" t="inlineStr">
        <is>
          <t>작성 안내</t>
        </is>
      </c>
    </row>
    <row r="2" ht="15" customHeight="1" s="20">
      <c r="A2" s="33" t="inlineStr">
        <is>
          <t>EXP-800</t>
        </is>
      </c>
      <c r="B2" s="28" t="inlineStr">
        <is>
          <t>승온</t>
        </is>
      </c>
      <c r="C2" s="28" t="inlineStr">
        <is>
          <t>운전시간</t>
        </is>
      </c>
      <c r="D2" s="27" t="inlineStr">
        <is>
          <t>OP_TIME</t>
        </is>
      </c>
      <c r="E2" s="33" t="n">
        <v>1.5</v>
      </c>
      <c r="F2" s="33" t="inlineStr">
        <is>
          <t>h</t>
        </is>
      </c>
      <c r="G2" s="28" t="inlineStr">
        <is>
          <t>가열 시작 ~ 반응온도 도달(메탄 공급 시작 전)</t>
        </is>
      </c>
      <c r="H2" s="28" t="inlineStr">
        <is>
          <t>선택</t>
        </is>
      </c>
      <c r="I2" s="28" t="inlineStr">
        <is>
          <t>확인 전 판단 어려움</t>
        </is>
      </c>
      <c r="J2" s="28" t="inlineStr">
        <is>
          <t>승온 프로그램은 설정되지만 구간별 실제 소요시간을 따로 남기는지 확인 필요</t>
        </is>
      </c>
      <c r="L2" s="26" t="inlineStr">
        <is>
          <t>노란 칸(실험ID·값·단위)만 입력한다. 나머지 열은 양식 정의이므로 수정하지 않는다.</t>
        </is>
      </c>
    </row>
    <row r="3" ht="29.85" customHeight="1" s="20">
      <c r="A3" s="33" t="inlineStr">
        <is>
          <t>EXP-800</t>
        </is>
      </c>
      <c r="B3" s="28" t="inlineStr">
        <is>
          <t>승온</t>
        </is>
      </c>
      <c r="C3" s="28" t="inlineStr">
        <is>
          <t>전력 사용량</t>
        </is>
      </c>
      <c r="D3" s="27" t="inlineStr">
        <is>
          <t>ELEC</t>
        </is>
      </c>
      <c r="E3" s="33" t="n">
        <v>1200</v>
      </c>
      <c r="F3" s="33" t="inlineStr">
        <is>
          <t>Wh</t>
        </is>
      </c>
      <c r="G3" s="28" t="inlineStr">
        <is>
          <t>가열 시작 ~ 메탄 공급 시작, 반응로·보조장비 전체</t>
        </is>
      </c>
      <c r="H3" s="28" t="inlineStr">
        <is>
          <t>필수</t>
        </is>
      </c>
      <c r="I3" s="28" t="inlineStr">
        <is>
          <t>추가 측정이 필요할 것으로 예상</t>
        </is>
      </c>
      <c r="J3" s="28" t="inlineStr">
        <is>
          <t>실험실 전기로는 전력량을 기록하지 않는 경우가 많아 전력량계 설치·로그 확인 필요</t>
        </is>
      </c>
      <c r="L3" s="26" t="inlineStr">
        <is>
          <t>실험 1건 = 이 표 전체(승온·반응·중단 구간별 행). 실험이 여러 건이면 행 묶음을 복사해 아래에 붙이고 실험ID를 바꾼다.</t>
        </is>
      </c>
    </row>
    <row r="4" ht="29.85" customHeight="1" s="20">
      <c r="A4" s="33" t="inlineStr">
        <is>
          <t>EXP-800</t>
        </is>
      </c>
      <c r="B4" s="28" t="inlineStr">
        <is>
          <t>승온</t>
        </is>
      </c>
      <c r="C4" s="28" t="inlineStr">
        <is>
          <t>외부 공급열</t>
        </is>
      </c>
      <c r="D4" s="27" t="inlineStr">
        <is>
          <t>HEAT_EXT</t>
        </is>
      </c>
      <c r="E4" s="33" t="n">
        <v>0</v>
      </c>
      <c r="F4" s="33" t="inlineStr">
        <is>
          <t>MJ</t>
        </is>
      </c>
      <c r="G4" s="28" t="inlineStr">
        <is>
          <t>승온 구간에 전기 외 열원(버너·예열기 등)으로 공급한 열</t>
        </is>
      </c>
      <c r="H4" s="28" t="inlineStr">
        <is>
          <t>필수</t>
        </is>
      </c>
      <c r="I4" s="28" t="inlineStr">
        <is>
          <t>확인 전 판단 어려움</t>
        </is>
      </c>
      <c r="J4" s="28" t="inlineStr">
        <is>
          <t>전기 가열만 쓰면 0 입력. 다른 열원 사용 여부는 장비 구성에 따라 다름</t>
        </is>
      </c>
      <c r="L4" s="26" t="inlineStr">
        <is>
          <t>단위는 측정 장비에 기록된 그대로 적는다(예: Wh, g). 계산 시 '계산설정'의 단위환산표로 표준단위로 바꾼다.</t>
        </is>
      </c>
    </row>
    <row r="5" ht="29.85" customHeight="1" s="20">
      <c r="A5" s="33" t="inlineStr">
        <is>
          <t>EXP-800</t>
        </is>
      </c>
      <c r="B5" s="28" t="inlineStr">
        <is>
          <t>반응</t>
        </is>
      </c>
      <c r="C5" s="28" t="inlineStr">
        <is>
          <t>메탄 신규 공급량</t>
        </is>
      </c>
      <c r="D5" s="27" t="inlineStr">
        <is>
          <t>CH4_NEW</t>
        </is>
      </c>
      <c r="E5" s="33" t="n">
        <v>1</v>
      </c>
      <c r="F5" s="33" t="inlineStr">
        <is>
          <t>kg</t>
        </is>
      </c>
      <c r="G5" s="28" t="inlineStr">
        <is>
          <t>메탄 공급 시작 ~ 중단, 외부에서 새로 공급한 메탄(재순환분 제외)</t>
        </is>
      </c>
      <c r="H5" s="28" t="inlineStr">
        <is>
          <t>필수</t>
        </is>
      </c>
      <c r="I5" s="28" t="inlineStr">
        <is>
          <t>확인 전 판단 어려움</t>
        </is>
      </c>
      <c r="J5" s="28" t="inlineStr">
        <is>
          <t>재순환 없는 일회 통과식이면 투입량과 같음. 재순환 구성·집계 방식 확인 필요</t>
        </is>
      </c>
      <c r="L5" s="26" t="inlineStr">
        <is>
          <t>측정하지 않은 값은 비워 둔다. 추정값으로 채우지 않는다(필수값이 비면 계산 보류, 선택값이 비면 해당 점검·참고값만 '자료 부족').</t>
        </is>
      </c>
    </row>
    <row r="6" ht="29.85" customHeight="1" s="20">
      <c r="A6" s="33" t="inlineStr">
        <is>
          <t>EXP-800</t>
        </is>
      </c>
      <c r="B6" s="28" t="inlineStr">
        <is>
          <t>반응</t>
        </is>
      </c>
      <c r="C6" s="28" t="inlineStr">
        <is>
          <t>반응기 메탄 투입량</t>
        </is>
      </c>
      <c r="D6" s="27" t="inlineStr">
        <is>
          <t>CH4_IN</t>
        </is>
      </c>
      <c r="E6" s="33" t="n">
        <v>2</v>
      </c>
      <c r="F6" s="33" t="inlineStr">
        <is>
          <t>kg</t>
        </is>
      </c>
      <c r="G6" s="28" t="inlineStr">
        <is>
          <t>메탄 공급 시작 ~ 중단, 반응기 입구 기준(재순환분 포함)</t>
        </is>
      </c>
      <c r="H6" s="28" t="inlineStr">
        <is>
          <t>선택</t>
        </is>
      </c>
      <c r="I6" s="28" t="inlineStr">
        <is>
          <t>기록될 것으로 예상</t>
        </is>
      </c>
      <c r="J6" s="28" t="inlineStr">
        <is>
          <t>MFC 유량 설정값×공급시간으로 환산해 기록하는 경우가 많음. 화학양론 점검용</t>
        </is>
      </c>
      <c r="L6" s="26" t="inlineStr">
        <is>
          <t>전기 외 열원이 없으면 외부 공급열은 0을 입력한다(빈칸과 0을 구분).</t>
        </is>
      </c>
    </row>
    <row r="7" ht="29.85" customHeight="1" s="20">
      <c r="A7" s="33" t="inlineStr">
        <is>
          <t>EXP-800</t>
        </is>
      </c>
      <c r="B7" s="28" t="inlineStr">
        <is>
          <t>반응</t>
        </is>
      </c>
      <c r="C7" s="28" t="inlineStr">
        <is>
          <t>반응기 메탄 배출량(미반응)</t>
        </is>
      </c>
      <c r="D7" s="27" t="inlineStr">
        <is>
          <t>CH4_OUT</t>
        </is>
      </c>
      <c r="E7" s="33" t="n">
        <v>1</v>
      </c>
      <c r="F7" s="33" t="inlineStr">
        <is>
          <t>kg</t>
        </is>
      </c>
      <c r="G7" s="28" t="inlineStr">
        <is>
          <t>메탄 공급 시작 ~ 중단, 반응기 출구의 미반응 메탄</t>
        </is>
      </c>
      <c r="H7" s="28" t="inlineStr">
        <is>
          <t>선택</t>
        </is>
      </c>
      <c r="I7" s="28" t="inlineStr">
        <is>
          <t>확인 전 판단 어려움</t>
        </is>
      </c>
      <c r="J7" s="28" t="inlineStr">
        <is>
          <t>출구 유량 실측인지, GC 조성·전환율로 역산하는지 연구실마다 다름. 화학양론 점검용</t>
        </is>
      </c>
      <c r="L7" s="26" t="inlineStr">
        <is>
          <t>같은 실험ID·구간·항목 행이 두 번 있으면 중복 기록으로 보고 계산을 보류한다.</t>
        </is>
      </c>
    </row>
    <row r="8" ht="15" customHeight="1" s="20">
      <c r="A8" s="33" t="inlineStr">
        <is>
          <t>EXP-800</t>
        </is>
      </c>
      <c r="B8" s="28" t="inlineStr">
        <is>
          <t>반응</t>
        </is>
      </c>
      <c r="C8" s="28" t="inlineStr">
        <is>
          <t>가스 조성 - CH4 몰분율</t>
        </is>
      </c>
      <c r="D8" s="27" t="inlineStr">
        <is>
          <t>X_CH4</t>
        </is>
      </c>
      <c r="E8" s="33" t="n">
        <v>0.334</v>
      </c>
      <c r="F8" s="33" t="inlineStr">
        <is>
          <t>mol/mol</t>
        </is>
      </c>
      <c r="G8" s="28" t="inlineStr">
        <is>
          <t>반응 구간 출구 가스, GC 분석(평균값)</t>
        </is>
      </c>
      <c r="H8" s="28" t="inlineStr">
        <is>
          <t>선택</t>
        </is>
      </c>
      <c r="I8" s="28" t="inlineStr">
        <is>
          <t>기록될 것으로 예상</t>
        </is>
      </c>
      <c r="J8" s="28" t="inlineStr">
        <is>
          <t>메탄 열분해 실험에서 GC 출구 조성 분석은 통상 수행됨</t>
        </is>
      </c>
      <c r="L8" s="26" t="inlineStr">
        <is>
          <t>작성 예시는 '작성예시' 시트 참고(가상 데이터).</t>
        </is>
      </c>
    </row>
    <row r="9" ht="15" customHeight="1" s="20">
      <c r="A9" s="33" t="inlineStr">
        <is>
          <t>EXP-800</t>
        </is>
      </c>
      <c r="B9" s="28" t="inlineStr">
        <is>
          <t>반응</t>
        </is>
      </c>
      <c r="C9" s="28" t="inlineStr">
        <is>
          <t>가스 조성 - H2 몰분율</t>
        </is>
      </c>
      <c r="D9" s="27" t="inlineStr">
        <is>
          <t>X_H2</t>
        </is>
      </c>
      <c r="E9" s="33" t="n">
        <v>0.666</v>
      </c>
      <c r="F9" s="33" t="inlineStr">
        <is>
          <t>mol/mol</t>
        </is>
      </c>
      <c r="G9" s="28" t="inlineStr">
        <is>
          <t>반응 구간 출구 가스, GC 분석(평균값)</t>
        </is>
      </c>
      <c r="H9" s="28" t="inlineStr">
        <is>
          <t>선택</t>
        </is>
      </c>
      <c r="I9" s="28" t="inlineStr">
        <is>
          <t>기록될 것으로 예상</t>
        </is>
      </c>
      <c r="J9" s="28" t="inlineStr">
        <is>
          <t>메탄 열분해 실험에서 GC 출구 조성 분석은 통상 수행됨</t>
        </is>
      </c>
    </row>
    <row r="10" ht="15" customHeight="1" s="20">
      <c r="A10" s="33" t="inlineStr">
        <is>
          <t>EXP-800</t>
        </is>
      </c>
      <c r="B10" s="28" t="inlineStr">
        <is>
          <t>반응</t>
        </is>
      </c>
      <c r="C10" s="28" t="inlineStr">
        <is>
          <t>반응온도</t>
        </is>
      </c>
      <c r="D10" s="27" t="inlineStr">
        <is>
          <t>TEMP</t>
        </is>
      </c>
      <c r="E10" s="33" t="n">
        <v>800</v>
      </c>
      <c r="F10" s="33" t="inlineStr">
        <is>
          <t>℃</t>
        </is>
      </c>
      <c r="G10" s="28" t="inlineStr">
        <is>
          <t>반응 구간 설정(유지) 온도</t>
        </is>
      </c>
      <c r="H10" s="28" t="inlineStr">
        <is>
          <t>필수</t>
        </is>
      </c>
      <c r="I10" s="28" t="inlineStr">
        <is>
          <t>기록될 것으로 예상</t>
        </is>
      </c>
      <c r="J10" s="28" t="inlineStr">
        <is>
          <t>실험조건으로 항상 기록됨. 영수증 식별용(계산에는 미사용)</t>
        </is>
      </c>
    </row>
    <row r="11" ht="15" customHeight="1" s="20">
      <c r="A11" s="33" t="inlineStr">
        <is>
          <t>EXP-800</t>
        </is>
      </c>
      <c r="B11" s="28" t="inlineStr">
        <is>
          <t>반응</t>
        </is>
      </c>
      <c r="C11" s="28" t="inlineStr">
        <is>
          <t>운전시간</t>
        </is>
      </c>
      <c r="D11" s="27" t="inlineStr">
        <is>
          <t>OP_TIME</t>
        </is>
      </c>
      <c r="E11" s="33" t="n">
        <v>4</v>
      </c>
      <c r="F11" s="33" t="inlineStr">
        <is>
          <t>h</t>
        </is>
      </c>
      <c r="G11" s="28" t="inlineStr">
        <is>
          <t>메탄 공급 시작 ~ 중단</t>
        </is>
      </c>
      <c r="H11" s="28" t="inlineStr">
        <is>
          <t>필수</t>
        </is>
      </c>
      <c r="I11" s="28" t="inlineStr">
        <is>
          <t>기록될 것으로 예상</t>
        </is>
      </c>
      <c r="J11" s="28" t="inlineStr">
        <is>
          <t>반응시간(TOS)은 실험조건으로 통상 기록됨</t>
        </is>
      </c>
    </row>
    <row r="12" ht="29.85" customHeight="1" s="20">
      <c r="A12" s="33" t="inlineStr">
        <is>
          <t>EXP-800</t>
        </is>
      </c>
      <c r="B12" s="28" t="inlineStr">
        <is>
          <t>반응</t>
        </is>
      </c>
      <c r="C12" s="28" t="inlineStr">
        <is>
          <t>전력 사용량</t>
        </is>
      </c>
      <c r="D12" s="27" t="inlineStr">
        <is>
          <t>ELEC</t>
        </is>
      </c>
      <c r="E12" s="33" t="n">
        <v>5000</v>
      </c>
      <c r="F12" s="33" t="inlineStr">
        <is>
          <t>Wh</t>
        </is>
      </c>
      <c r="G12" s="28" t="inlineStr">
        <is>
          <t>메탄 공급 시작 ~ 중단, 반응로·보조장비 전체</t>
        </is>
      </c>
      <c r="H12" s="28" t="inlineStr">
        <is>
          <t>필수</t>
        </is>
      </c>
      <c r="I12" s="28" t="inlineStr">
        <is>
          <t>추가 측정이 필요할 것으로 예상</t>
        </is>
      </c>
      <c r="J12" s="28" t="inlineStr">
        <is>
          <t>실험실 전기로는 전력량을 기록하지 않는 경우가 많아 전력량계 설치·로그 확인 필요</t>
        </is>
      </c>
    </row>
    <row r="13" ht="15" customHeight="1" s="20">
      <c r="A13" s="33" t="inlineStr">
        <is>
          <t>EXP-800</t>
        </is>
      </c>
      <c r="B13" s="28" t="inlineStr">
        <is>
          <t>반응</t>
        </is>
      </c>
      <c r="C13" s="28" t="inlineStr">
        <is>
          <t>외부 공급열</t>
        </is>
      </c>
      <c r="D13" s="27" t="inlineStr">
        <is>
          <t>HEAT_EXT</t>
        </is>
      </c>
      <c r="E13" s="33" t="n">
        <v>0</v>
      </c>
      <c r="F13" s="33" t="inlineStr">
        <is>
          <t>MJ</t>
        </is>
      </c>
      <c r="G13" s="28" t="inlineStr">
        <is>
          <t>반응 구간에 전기 외 열원으로 공급한 열</t>
        </is>
      </c>
      <c r="H13" s="28" t="inlineStr">
        <is>
          <t>필수</t>
        </is>
      </c>
      <c r="I13" s="28" t="inlineStr">
        <is>
          <t>확인 전 판단 어려움</t>
        </is>
      </c>
      <c r="J13" s="28" t="inlineStr">
        <is>
          <t>전기 가열만 쓰면 0 입력. 다른 열원 사용 여부는 장비 구성에 따라 다름</t>
        </is>
      </c>
    </row>
    <row r="14" ht="29.85" customHeight="1" s="20">
      <c r="A14" s="33" t="inlineStr">
        <is>
          <t>EXP-800</t>
        </is>
      </c>
      <c r="B14" s="28" t="inlineStr">
        <is>
          <t>반응</t>
        </is>
      </c>
      <c r="C14" s="28" t="inlineStr">
        <is>
          <t>수소 생산량</t>
        </is>
      </c>
      <c r="D14" s="27" t="inlineStr">
        <is>
          <t>H2_PROD</t>
        </is>
      </c>
      <c r="E14" s="33" t="n">
        <v>300</v>
      </c>
      <c r="F14" s="33" t="inlineStr">
        <is>
          <t>g</t>
        </is>
      </c>
      <c r="G14" s="28" t="inlineStr">
        <is>
          <t>메탄 공급 시작 ~ 중단, 출구 가스 중 H2 질량(유량×H2 몰분율 적산)</t>
        </is>
      </c>
      <c r="H14" s="28" t="inlineStr">
        <is>
          <t>필수</t>
        </is>
      </c>
      <c r="I14" s="28" t="inlineStr">
        <is>
          <t>확인 전 판단 어려움</t>
        </is>
      </c>
      <c r="J14" s="28" t="inlineStr">
        <is>
          <t>논문·노트에는 전환율·수율로 남기는 경우가 많아 질량 환산 가능 여부 확인 필요</t>
        </is>
      </c>
    </row>
    <row r="15" ht="29.85" customHeight="1" s="20">
      <c r="A15" s="33" t="inlineStr">
        <is>
          <t>EXP-800</t>
        </is>
      </c>
      <c r="B15" s="28" t="inlineStr">
        <is>
          <t>반응</t>
        </is>
      </c>
      <c r="C15" s="28" t="inlineStr">
        <is>
          <t>수소 순도</t>
        </is>
      </c>
      <c r="D15" s="27" t="inlineStr">
        <is>
          <t>H2_PURITY</t>
        </is>
      </c>
      <c r="E15" s="33" t="n">
        <v>66.59999999999999</v>
      </c>
      <c r="F15" s="33" t="inlineStr">
        <is>
          <t>mol%</t>
        </is>
      </c>
      <c r="G15" s="28" t="inlineStr">
        <is>
          <t>수소 생산량을 측정한 지점의 H2 몰분율(정제 전)</t>
        </is>
      </c>
      <c r="H15" s="28" t="inlineStr">
        <is>
          <t>선택</t>
        </is>
      </c>
      <c r="I15" s="28" t="inlineStr">
        <is>
          <t>확인 전 판단 어려움</t>
        </is>
      </c>
      <c r="J15" s="28" t="inlineStr">
        <is>
          <t>'순도'를 출구 가스 기준으로 볼지 분리 후 기준으로 볼지 정의 확인 필요. 정제는 경계 밖</t>
        </is>
      </c>
    </row>
    <row r="16" ht="29.85" customHeight="1" s="20">
      <c r="A16" s="33" t="inlineStr">
        <is>
          <t>EXP-800</t>
        </is>
      </c>
      <c r="B16" s="28" t="inlineStr">
        <is>
          <t>반응</t>
        </is>
      </c>
      <c r="C16" s="28" t="inlineStr">
        <is>
          <t>고체탄소 회수량</t>
        </is>
      </c>
      <c r="D16" s="27" t="inlineStr">
        <is>
          <t>C_REC</t>
        </is>
      </c>
      <c r="E16" s="33" t="n">
        <v>720</v>
      </c>
      <c r="F16" s="33" t="inlineStr">
        <is>
          <t>g</t>
        </is>
      </c>
      <c r="G16" s="28" t="inlineStr">
        <is>
          <t>실험 종료 후 회수·칭량한 고체탄소(촉매 질량 제외)</t>
        </is>
      </c>
      <c r="H16" s="28" t="inlineStr">
        <is>
          <t>선택</t>
        </is>
      </c>
      <c r="I16" s="28" t="inlineStr">
        <is>
          <t>확인 전 판단 어려움</t>
        </is>
      </c>
      <c r="J16" s="28" t="inlineStr">
        <is>
          <t>촉매 전후 무게 차로 탄소 수율을 보고하는 경우가 있으나 회수·칭량 방식 확인 필요. 질량 배분·탄소 점검용</t>
        </is>
      </c>
    </row>
    <row r="17" ht="29.85" customHeight="1" s="20">
      <c r="A17" s="33" t="inlineStr">
        <is>
          <t>EXP-800</t>
        </is>
      </c>
      <c r="B17" s="28" t="inlineStr">
        <is>
          <t>반응</t>
        </is>
      </c>
      <c r="C17" s="28" t="inlineStr">
        <is>
          <t>반응기 내 탄소 축적량</t>
        </is>
      </c>
      <c r="D17" s="27" t="inlineStr">
        <is>
          <t>C_ACC</t>
        </is>
      </c>
      <c r="E17" s="33" t="n">
        <v>20</v>
      </c>
      <c r="F17" s="33" t="inlineStr">
        <is>
          <t>g</t>
        </is>
      </c>
      <c r="G17" s="28" t="inlineStr">
        <is>
          <t>회수하지 못하고 반응기 벽·배관에 남은 탄소</t>
        </is>
      </c>
      <c r="H17" s="28" t="inlineStr">
        <is>
          <t>선택</t>
        </is>
      </c>
      <c r="I17" s="28" t="inlineStr">
        <is>
          <t>추가 측정이 필요할 것으로 예상</t>
        </is>
      </c>
      <c r="J17" s="28" t="inlineStr">
        <is>
          <t>통상 별도로 측정하지 않음. 탄소수지 점검 정확도를 높일 때 추가 측정</t>
        </is>
      </c>
    </row>
    <row r="18" ht="15" customHeight="1" s="20">
      <c r="A18" s="33" t="inlineStr">
        <is>
          <t>EXP-800</t>
        </is>
      </c>
      <c r="B18" s="28" t="inlineStr">
        <is>
          <t>반응</t>
        </is>
      </c>
      <c r="C18" s="28" t="inlineStr">
        <is>
          <t>촉매 종류</t>
        </is>
      </c>
      <c r="D18" s="27" t="inlineStr">
        <is>
          <t>CAT_TYPE</t>
        </is>
      </c>
      <c r="E18" s="33" t="inlineStr">
        <is>
          <t>Fe</t>
        </is>
      </c>
      <c r="F18" s="33" t="inlineStr">
        <is>
          <t>-</t>
        </is>
      </c>
      <c r="G18" s="28" t="inlineStr">
        <is>
          <t>이번 실험에 사용한 촉매(배출계수 선택에 사용)</t>
        </is>
      </c>
      <c r="H18" s="28" t="inlineStr">
        <is>
          <t>필수</t>
        </is>
      </c>
      <c r="I18" s="28" t="inlineStr">
        <is>
          <t>기록될 것으로 예상</t>
        </is>
      </c>
      <c r="J18" s="28" t="inlineStr">
        <is>
          <t>실험조건으로 항상 기록됨</t>
        </is>
      </c>
    </row>
    <row r="19" ht="15" customHeight="1" s="20">
      <c r="A19" s="33" t="inlineStr">
        <is>
          <t>EXP-800</t>
        </is>
      </c>
      <c r="B19" s="28" t="inlineStr">
        <is>
          <t>반응</t>
        </is>
      </c>
      <c r="C19" s="28" t="inlineStr">
        <is>
          <t>촉매 사용량</t>
        </is>
      </c>
      <c r="D19" s="27" t="inlineStr">
        <is>
          <t>CAT_MASS</t>
        </is>
      </c>
      <c r="E19" s="33" t="n">
        <v>20</v>
      </c>
      <c r="F19" s="33" t="inlineStr">
        <is>
          <t>g</t>
        </is>
      </c>
      <c r="G19" s="28" t="inlineStr">
        <is>
          <t>반응기에 충전한 촉매 질량(최초 투입 기준)</t>
        </is>
      </c>
      <c r="H19" s="28" t="inlineStr">
        <is>
          <t>필수</t>
        </is>
      </c>
      <c r="I19" s="28" t="inlineStr">
        <is>
          <t>기록될 것으로 예상</t>
        </is>
      </c>
      <c r="J19" s="28" t="inlineStr">
        <is>
          <t>실험조건으로 통상 기록됨</t>
        </is>
      </c>
    </row>
    <row r="20" ht="29.85" customHeight="1" s="20">
      <c r="A20" s="33" t="inlineStr">
        <is>
          <t>EXP-800</t>
        </is>
      </c>
      <c r="B20" s="28" t="inlineStr">
        <is>
          <t>반응</t>
        </is>
      </c>
      <c r="C20" s="28" t="inlineStr">
        <is>
          <t>촉매 최초 사용 포함 총 사용 횟수</t>
        </is>
      </c>
      <c r="D20" s="27" t="inlineStr">
        <is>
          <t>CAT_USES</t>
        </is>
      </c>
      <c r="E20" s="33" t="n">
        <v>4</v>
      </c>
      <c r="F20" s="33" t="inlineStr">
        <is>
          <t>회</t>
        </is>
      </c>
      <c r="G20" s="28" t="inlineStr">
        <is>
          <t>같은 촉매 충전분으로 수행한(할) 실험 횟수. 최초 사용을 1회로 셈(예: 최초 1회 + 재사용 3회 = 4)</t>
        </is>
      </c>
      <c r="H20" s="28" t="inlineStr">
        <is>
          <t>필수</t>
        </is>
      </c>
      <c r="I20" s="28" t="inlineStr">
        <is>
          <t>확인 전 판단 어려움</t>
        </is>
      </c>
      <c r="J20" s="28" t="inlineStr">
        <is>
          <t>재생·재사용 여부와 횟수를 실험별로 남기는지 확인 필요. 1이면 이번 실험에 전량 배분</t>
        </is>
      </c>
    </row>
    <row r="21" ht="15" customHeight="1" s="20">
      <c r="A21" s="33" t="inlineStr">
        <is>
          <t>EXP-800</t>
        </is>
      </c>
      <c r="B21" s="28" t="inlineStr">
        <is>
          <t>중단</t>
        </is>
      </c>
      <c r="C21" s="28" t="inlineStr">
        <is>
          <t>운전시간</t>
        </is>
      </c>
      <c r="D21" s="27" t="inlineStr">
        <is>
          <t>OP_TIME</t>
        </is>
      </c>
      <c r="E21" s="33" t="n">
        <v>1</v>
      </c>
      <c r="F21" s="33" t="inlineStr">
        <is>
          <t>h</t>
        </is>
      </c>
      <c r="G21" s="28" t="inlineStr">
        <is>
          <t>메탄 공급 중단 ~ 전원 차단(냉각·퍼지 포함)</t>
        </is>
      </c>
      <c r="H21" s="28" t="inlineStr">
        <is>
          <t>선택</t>
        </is>
      </c>
      <c r="I21" s="28" t="inlineStr">
        <is>
          <t>확인 전 판단 어려움</t>
        </is>
      </c>
      <c r="J21" s="28" t="inlineStr">
        <is>
          <t>냉각·퍼지 시간을 구간별로 남기는지 확인 필요</t>
        </is>
      </c>
    </row>
    <row r="22" ht="29.85" customHeight="1" s="20">
      <c r="A22" s="33" t="inlineStr">
        <is>
          <t>EXP-800</t>
        </is>
      </c>
      <c r="B22" s="28" t="inlineStr">
        <is>
          <t>중단</t>
        </is>
      </c>
      <c r="C22" s="28" t="inlineStr">
        <is>
          <t>전력 사용량</t>
        </is>
      </c>
      <c r="D22" s="27" t="inlineStr">
        <is>
          <t>ELEC</t>
        </is>
      </c>
      <c r="E22" s="33" t="n">
        <v>300</v>
      </c>
      <c r="F22" s="33" t="inlineStr">
        <is>
          <t>Wh</t>
        </is>
      </c>
      <c r="G22" s="28" t="inlineStr">
        <is>
          <t>메탄 공급 중단 ~ 전원 차단, 반응로·보조장비 전체</t>
        </is>
      </c>
      <c r="H22" s="28" t="inlineStr">
        <is>
          <t>필수</t>
        </is>
      </c>
      <c r="I22" s="28" t="inlineStr">
        <is>
          <t>추가 측정이 필요할 것으로 예상</t>
        </is>
      </c>
      <c r="J22" s="28" t="inlineStr">
        <is>
          <t>실험실 전기로는 전력량을 기록하지 않는 경우가 많아 전력량계 설치·로그 확인 필요</t>
        </is>
      </c>
    </row>
    <row r="23" ht="15" customHeight="1" s="20">
      <c r="A23" s="33" t="inlineStr">
        <is>
          <t>EXP-800</t>
        </is>
      </c>
      <c r="B23" s="28" t="inlineStr">
        <is>
          <t>중단</t>
        </is>
      </c>
      <c r="C23" s="28" t="inlineStr">
        <is>
          <t>외부 공급열</t>
        </is>
      </c>
      <c r="D23" s="27" t="inlineStr">
        <is>
          <t>HEAT_EXT</t>
        </is>
      </c>
      <c r="E23" s="33" t="n">
        <v>0</v>
      </c>
      <c r="F23" s="33" t="inlineStr">
        <is>
          <t>MJ</t>
        </is>
      </c>
      <c r="G23" s="28" t="inlineStr">
        <is>
          <t>중단 구간에 전기 외 열원으로 공급한 열</t>
        </is>
      </c>
      <c r="H23" s="28" t="inlineStr">
        <is>
          <t>필수</t>
        </is>
      </c>
      <c r="I23" s="28" t="inlineStr">
        <is>
          <t>확인 전 판단 어려움</t>
        </is>
      </c>
      <c r="J23" s="28" t="inlineStr">
        <is>
          <t>전기 가열만 쓰면 0 입력. 다른 열원 사용 여부는 장비 구성에 따라 다름</t>
        </is>
      </c>
    </row>
  </sheetData>
  <dataValidations count="3">
    <dataValidation sqref="B2:B43" showDropDown="0" showInputMessage="0" showErrorMessage="0" allowBlank="1" type="list" errorStyle="stop" operator="between">
      <formula1>"승온,반응,중단"</formula1>
      <formula2>0</formula2>
    </dataValidation>
    <dataValidation sqref="H2:H43" showDropDown="0" showInputMessage="0" showErrorMessage="0" allowBlank="1" type="list" errorStyle="stop" operator="between">
      <formula1>"필수,선택"</formula1>
      <formula2>0</formula2>
    </dataValidation>
    <dataValidation sqref="I2:I43" showDropDown="0" showInputMessage="0" showErrorMessage="0" allowBlank="1" type="list" errorStyle="stop" operator="between">
      <formula1>"기록될 것으로 예상,추가 측정이 필요할 것으로 예상,확인 전 판단 어려움"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8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8" customWidth="1" style="19" min="1" max="1"/>
    <col width="12" customWidth="1" style="19" min="2" max="2"/>
    <col width="30" customWidth="1" style="19" min="3" max="3"/>
    <col width="44" customWidth="1" style="19" min="4" max="4"/>
    <col width="12" customWidth="1" style="19" min="5" max="5"/>
    <col width="60" customWidth="1" style="19" min="6" max="6"/>
    <col width="3" customWidth="1" style="19" min="7" max="7"/>
    <col width="62" customWidth="1" style="19" min="8" max="8"/>
  </cols>
  <sheetData>
    <row r="1" ht="30" customHeight="1" s="20">
      <c r="A1" s="21" t="inlineStr">
        <is>
          <t>설정ID</t>
        </is>
      </c>
      <c r="B1" s="21" t="inlineStr">
        <is>
          <t>구분</t>
        </is>
      </c>
      <c r="C1" s="21" t="inlineStr">
        <is>
          <t>항목</t>
        </is>
      </c>
      <c r="D1" s="21" t="inlineStr">
        <is>
          <t>값</t>
        </is>
      </c>
      <c r="E1" s="21" t="inlineStr">
        <is>
          <t>단위</t>
        </is>
      </c>
      <c r="F1" s="21" t="inlineStr">
        <is>
          <t>설명·근거</t>
        </is>
      </c>
      <c r="H1" s="22" t="inlineStr">
        <is>
          <t>작성 안내</t>
        </is>
      </c>
    </row>
    <row r="2" ht="15" customHeight="1" s="20">
      <c r="A2" s="27" t="inlineStr">
        <is>
          <t>FORM_VERSION</t>
        </is>
      </c>
      <c r="B2" s="28" t="inlineStr">
        <is>
          <t>버전</t>
        </is>
      </c>
      <c r="C2" s="28" t="inlineStr">
        <is>
          <t>입력양식 버전</t>
        </is>
      </c>
      <c r="D2" s="27" t="inlineStr">
        <is>
          <t>v0.1</t>
        </is>
      </c>
      <c r="E2" s="27" t="inlineStr">
        <is>
          <t>-</t>
        </is>
      </c>
      <c r="F2" s="28" t="inlineStr">
        <is>
          <t>양식 구조 변경 시 갱신</t>
        </is>
      </c>
      <c r="H2" s="26" t="inlineStr">
        <is>
          <t>이 시트의 값은 계산 엔진이 그대로 읽는다. 설정ID는 바꾸지 않는다.</t>
        </is>
      </c>
    </row>
    <row r="3" ht="15" customHeight="1" s="20">
      <c r="A3" s="27" t="inlineStr">
        <is>
          <t>EF_VERSION</t>
        </is>
      </c>
      <c r="B3" s="28" t="inlineStr">
        <is>
          <t>버전</t>
        </is>
      </c>
      <c r="C3" s="28" t="inlineStr">
        <is>
          <t>적용 배출계수 버전</t>
        </is>
      </c>
      <c r="D3" s="27" t="inlineStr">
        <is>
          <t>EF-DEMO-v0.1</t>
        </is>
      </c>
      <c r="E3" s="27" t="inlineStr">
        <is>
          <t>-</t>
        </is>
      </c>
      <c r="F3" s="27" t="inlineStr">
        <is>
          <t>'배출계수' 시트의 버전 열과 일치하는 계수만 사용</t>
        </is>
      </c>
      <c r="H3" s="26" t="inlineStr">
        <is>
          <t>분홍 칸은 시연용 예시값이다. 실제 적용 전에 연구실 자료로 확인·교체한다.</t>
        </is>
      </c>
    </row>
    <row r="4" ht="29.85" customHeight="1" s="20">
      <c r="A4" s="27" t="inlineStr">
        <is>
          <t>FU</t>
        </is>
      </c>
      <c r="B4" s="28" t="inlineStr">
        <is>
          <t>기능단위</t>
        </is>
      </c>
      <c r="C4" s="28" t="inlineStr">
        <is>
          <t>기능단위</t>
        </is>
      </c>
      <c r="D4" s="27" t="n">
        <v>1</v>
      </c>
      <c r="E4" s="27" t="inlineStr">
        <is>
          <t>kg-H2</t>
        </is>
      </c>
      <c r="F4" s="28" t="inlineStr">
        <is>
          <t>수소 1 kg당 배출량(kgCO2-eq/kg-H2)으로 표시</t>
        </is>
      </c>
      <c r="H4" s="26" t="inlineStr">
        <is>
          <t>에너지 집계 구간·메탄 기준·촉매 배분·고체탄소 처리 가정은 영수증의 '적용 가정'에 그대로 표시된다.</t>
        </is>
      </c>
    </row>
    <row r="5" ht="15" customHeight="1" s="20">
      <c r="A5" s="27" t="inlineStr">
        <is>
          <t>BOUNDARY_IN_1</t>
        </is>
      </c>
      <c r="B5" s="28" t="inlineStr">
        <is>
          <t>시스템 경계</t>
        </is>
      </c>
      <c r="C5" s="28" t="inlineStr">
        <is>
          <t>포함</t>
        </is>
      </c>
      <c r="D5" s="28" t="inlineStr">
        <is>
          <t>원료 메탄 생산·공급</t>
        </is>
      </c>
      <c r="E5" s="27" t="inlineStr">
        <is>
          <t>-</t>
        </is>
      </c>
      <c r="F5" s="28" t="inlineStr">
        <is>
          <t>메탄 신규 공급량 × 메탄 생산·공급 배출계수</t>
        </is>
      </c>
    </row>
    <row r="6" ht="15" customHeight="1" s="20">
      <c r="A6" s="27" t="inlineStr">
        <is>
          <t>BOUNDARY_IN_2</t>
        </is>
      </c>
      <c r="B6" s="28" t="inlineStr">
        <is>
          <t>시스템 경계</t>
        </is>
      </c>
      <c r="C6" s="28" t="inlineStr">
        <is>
          <t>포함</t>
        </is>
      </c>
      <c r="D6" s="28" t="inlineStr">
        <is>
          <t>공정 전력·열</t>
        </is>
      </c>
      <c r="E6" s="27" t="inlineStr">
        <is>
          <t>-</t>
        </is>
      </c>
      <c r="F6" s="28" t="inlineStr">
        <is>
          <t>전력 사용량, 외부 공급열</t>
        </is>
      </c>
    </row>
    <row r="7" ht="15" customHeight="1" s="20">
      <c r="A7" s="27" t="inlineStr">
        <is>
          <t>BOUNDARY_IN_3</t>
        </is>
      </c>
      <c r="B7" s="28" t="inlineStr">
        <is>
          <t>시스템 경계</t>
        </is>
      </c>
      <c r="C7" s="28" t="inlineStr">
        <is>
          <t>포함</t>
        </is>
      </c>
      <c r="D7" s="28" t="inlineStr">
        <is>
          <t>촉매</t>
        </is>
      </c>
      <c r="E7" s="27" t="inlineStr">
        <is>
          <t>-</t>
        </is>
      </c>
      <c r="F7" s="28" t="inlineStr">
        <is>
          <t>촉매 제조 배출(실험 1회 배분량 기준)</t>
        </is>
      </c>
    </row>
    <row r="8" ht="15" customHeight="1" s="20">
      <c r="A8" s="27" t="inlineStr">
        <is>
          <t>BOUNDARY_OUT_1</t>
        </is>
      </c>
      <c r="B8" s="28" t="inlineStr">
        <is>
          <t>시스템 경계</t>
        </is>
      </c>
      <c r="C8" s="28" t="inlineStr">
        <is>
          <t>제외</t>
        </is>
      </c>
      <c r="D8" s="28" t="inlineStr">
        <is>
          <t>수소 정제·압축</t>
        </is>
      </c>
      <c r="E8" s="27" t="inlineStr">
        <is>
          <t>-</t>
        </is>
      </c>
      <c r="F8" s="28" t="inlineStr">
        <is>
          <t>실험실 규모에서 정제·압축 공정 없음. 영수증에 경계 밖 항목으로 표시</t>
        </is>
      </c>
    </row>
    <row r="9" ht="15" customHeight="1" s="20">
      <c r="A9" s="27" t="inlineStr">
        <is>
          <t>BOUNDARY_OUT_2</t>
        </is>
      </c>
      <c r="B9" s="28" t="inlineStr">
        <is>
          <t>시스템 경계</t>
        </is>
      </c>
      <c r="C9" s="28" t="inlineStr">
        <is>
          <t>제외</t>
        </is>
      </c>
      <c r="D9" s="28" t="inlineStr">
        <is>
          <t>공정 내 메탄 누출</t>
        </is>
      </c>
      <c r="E9" s="27" t="inlineStr">
        <is>
          <t>-</t>
        </is>
      </c>
      <c r="F9" s="28" t="inlineStr">
        <is>
          <t>실험실 배관 누출 측정 자료 없음. 영수증에 경계 밖 항목으로 표시</t>
        </is>
      </c>
    </row>
    <row r="10" ht="15" customHeight="1" s="20">
      <c r="A10" s="27" t="inlineStr">
        <is>
          <t>BOUNDARY_OUT_3</t>
        </is>
      </c>
      <c r="B10" s="28" t="inlineStr">
        <is>
          <t>시스템 경계</t>
        </is>
      </c>
      <c r="C10" s="28" t="inlineStr">
        <is>
          <t>제외</t>
        </is>
      </c>
      <c r="D10" s="28" t="inlineStr">
        <is>
          <t>고체탄소 후처리·활용</t>
        </is>
      </c>
      <c r="E10" s="27" t="inlineStr">
        <is>
          <t>-</t>
        </is>
      </c>
      <c r="F10" s="28" t="inlineStr">
        <is>
          <t>회수 이후 정제·판매·대체효과는 본 단계에서 다루지 않음</t>
        </is>
      </c>
    </row>
    <row r="11" ht="44" customHeight="1" s="20">
      <c r="A11" s="27" t="inlineStr">
        <is>
          <t>BOUNDARY_OUT_4</t>
        </is>
      </c>
      <c r="B11" s="28" t="inlineStr">
        <is>
          <t>시스템 경계</t>
        </is>
      </c>
      <c r="C11" s="28" t="inlineStr">
        <is>
          <t>제외</t>
        </is>
      </c>
      <c r="D11" s="28" t="inlineStr">
        <is>
          <t>미반응 메탄의 배기·연소 처리</t>
        </is>
      </c>
      <c r="E11" s="27" t="inlineStr">
        <is>
          <t>-</t>
        </is>
      </c>
      <c r="F11" s="28" t="inlineStr">
        <is>
          <t>예시는 미반응 메탄 회수·재순환을 가정. 일회 통과식 반응기라면 CH4_NEW=CH4_IN으로 입력하고, 미반응 메탄 처리 배출의 포함 여부는 연구실 확인 후 결정</t>
        </is>
      </c>
    </row>
    <row r="12" ht="29.85" customHeight="1" s="20">
      <c r="A12" s="27" t="inlineStr">
        <is>
          <t>LABEL_RESULT</t>
        </is>
      </c>
      <c r="B12" s="28" t="inlineStr">
        <is>
          <t>결과 표시</t>
        </is>
      </c>
      <c r="C12" s="28" t="inlineStr">
        <is>
          <t>결과 표시 문구</t>
        </is>
      </c>
      <c r="D12" s="28" t="inlineStr">
        <is>
          <t>실험실 규모 연구용 결과 — 정제·압축 제외, 상업 규모 추정치 아님</t>
        </is>
      </c>
      <c r="E12" s="27" t="inlineStr">
        <is>
          <t>-</t>
        </is>
      </c>
      <c r="F12" s="28" t="inlineStr">
        <is>
          <t>모든 영수증에 표시</t>
        </is>
      </c>
    </row>
    <row r="13" ht="29.85" customHeight="1" s="20">
      <c r="A13" s="27" t="inlineStr">
        <is>
          <t>LABEL_DATA</t>
        </is>
      </c>
      <c r="B13" s="28" t="inlineStr">
        <is>
          <t>결과 표시</t>
        </is>
      </c>
      <c r="C13" s="28" t="inlineStr">
        <is>
          <t>자료 상태 표시 문구</t>
        </is>
      </c>
      <c r="D13" s="28" t="inlineStr">
        <is>
          <t>가상 데이터·예시 배출계수 기반 (실제 실험값·공인 계수 아님)</t>
        </is>
      </c>
      <c r="E13" s="27" t="inlineStr">
        <is>
          <t>-</t>
        </is>
      </c>
      <c r="F13" s="28" t="inlineStr">
        <is>
          <t>실제 자료·확인된 계수로 바꾸기 전까지 표시</t>
        </is>
      </c>
    </row>
    <row r="14" ht="29.85" customHeight="1" s="20">
      <c r="A14" s="27" t="inlineStr">
        <is>
          <t>ENERGY_SCOPE_BASE</t>
        </is>
      </c>
      <c r="B14" s="28" t="inlineStr">
        <is>
          <t>에너지 집계</t>
        </is>
      </c>
      <c r="C14" s="28" t="inlineStr">
        <is>
          <t>기본 집계 구간</t>
        </is>
      </c>
      <c r="D14" s="28" t="inlineStr">
        <is>
          <t>승온+반응+중단</t>
        </is>
      </c>
      <c r="E14" s="27" t="inlineStr">
        <is>
          <t>-</t>
        </is>
      </c>
      <c r="F14" s="28" t="inlineStr">
        <is>
          <t>승온·반응·중단 구간 전력을 합산해 같은 배치의 수소 생산량으로 나눔. 배치의 시작·종료 시점과 냉각·대기 구간 포함 여부는 실제 적용 전 연구실과 합의</t>
        </is>
      </c>
    </row>
    <row r="15" ht="23.85" customHeight="1" s="20">
      <c r="A15" s="27" t="inlineStr">
        <is>
          <t>ENERGY_SCOPE_REF</t>
        </is>
      </c>
      <c r="B15" s="28" t="inlineStr">
        <is>
          <t>에너지 집계</t>
        </is>
      </c>
      <c r="C15" s="28" t="inlineStr">
        <is>
          <t>참고 집계 구간</t>
        </is>
      </c>
      <c r="D15" s="28" t="inlineStr">
        <is>
          <t>반응</t>
        </is>
      </c>
      <c r="E15" s="27" t="inlineStr">
        <is>
          <t>-</t>
        </is>
      </c>
      <c r="F15" s="28" t="inlineStr">
        <is>
          <t>반응 구간만 별도 계산(참고값). 승온·중단 비중을 확인하는 용도</t>
        </is>
      </c>
    </row>
    <row r="16" ht="29.85" customHeight="1" s="20">
      <c r="A16" s="27" t="inlineStr">
        <is>
          <t>CH4_BASIS</t>
        </is>
      </c>
      <c r="B16" s="28" t="inlineStr">
        <is>
          <t>메탄 가정</t>
        </is>
      </c>
      <c r="C16" s="28" t="inlineStr">
        <is>
          <t>원료 배출 산정 기준</t>
        </is>
      </c>
      <c r="D16" s="27" t="inlineStr">
        <is>
          <t>CH4_NEW</t>
        </is>
      </c>
      <c r="E16" s="27" t="inlineStr">
        <is>
          <t>-</t>
        </is>
      </c>
      <c r="F16" s="28" t="inlineStr">
        <is>
          <t>메탄 신규 공급량으로 계산. 미반응 메탄 회수·재순환은 신규 공급량에 반영된 것으로 봄</t>
        </is>
      </c>
    </row>
    <row r="17" ht="15" customHeight="1" s="20">
      <c r="A17" s="27" t="inlineStr">
        <is>
          <t>CAT_ALLOC</t>
        </is>
      </c>
      <c r="B17" s="28" t="inlineStr">
        <is>
          <t>촉매 가정</t>
        </is>
      </c>
      <c r="C17" s="28" t="inlineStr">
        <is>
          <t>실험 1회 배분량</t>
        </is>
      </c>
      <c r="D17" s="27" t="inlineStr">
        <is>
          <t>CAT_MASS / CAT_USES</t>
        </is>
      </c>
      <c r="E17" s="27" t="inlineStr">
        <is>
          <t>kg</t>
        </is>
      </c>
      <c r="F17" s="28" t="inlineStr">
        <is>
          <t>촉매 사용량 ÷ 최초 사용 포함 총 사용 횟수</t>
        </is>
      </c>
    </row>
    <row r="18" ht="15" customHeight="1" s="20">
      <c r="A18" s="27" t="inlineStr">
        <is>
          <t>CARBON_BASE</t>
        </is>
      </c>
      <c r="B18" s="28" t="inlineStr">
        <is>
          <t>고체탄소 가정</t>
        </is>
      </c>
      <c r="C18" s="28" t="inlineStr">
        <is>
          <t>기본</t>
        </is>
      </c>
      <c r="D18" s="28" t="inlineStr">
        <is>
          <t>부산물 공제 없음</t>
        </is>
      </c>
      <c r="E18" s="27" t="inlineStr">
        <is>
          <t>-</t>
        </is>
      </c>
      <c r="F18" s="28" t="inlineStr">
        <is>
          <t>공정 부담 전량을 수소에 귀속</t>
        </is>
      </c>
    </row>
    <row r="19" ht="26.85" customHeight="1" s="20">
      <c r="A19" s="27" t="inlineStr">
        <is>
          <t>CARBON_REF</t>
        </is>
      </c>
      <c r="B19" s="28" t="inlineStr">
        <is>
          <t>고체탄소 가정</t>
        </is>
      </c>
      <c r="C19" s="28" t="inlineStr">
        <is>
          <t>참고</t>
        </is>
      </c>
      <c r="D19" s="28" t="inlineStr">
        <is>
          <t>질량 배분</t>
        </is>
      </c>
      <c r="E19" s="27" t="inlineStr">
        <is>
          <t>-</t>
        </is>
      </c>
      <c r="F19" s="28" t="inlineStr">
        <is>
          <t>고체탄소 회수량(C_REC)이 있을 때만 계산. 수소 배분율 = H2 ÷ (H2 + C_REC)</t>
        </is>
      </c>
    </row>
    <row r="20" ht="15" customHeight="1" s="20">
      <c r="A20" s="27" t="inlineStr">
        <is>
          <t>C_BALANCE_BASIS</t>
        </is>
      </c>
      <c r="B20" s="28" t="inlineStr">
        <is>
          <t>검사 기준</t>
        </is>
      </c>
      <c r="C20" s="28" t="inlineStr">
        <is>
          <t>탄소 점검 비교값</t>
        </is>
      </c>
      <c r="D20" s="27" t="inlineStr">
        <is>
          <t>C_REC + C_ACC</t>
        </is>
      </c>
      <c r="E20" s="27" t="inlineStr">
        <is>
          <t>kg</t>
        </is>
      </c>
      <c r="F20" s="28" t="inlineStr">
        <is>
          <t>고체탄소 회수량 + 반응기 내 탄소 축적량(기록된 경우)을 이론 탄소량과 비교</t>
        </is>
      </c>
    </row>
    <row r="21" ht="15" customHeight="1" s="20">
      <c r="A21" s="27" t="inlineStr">
        <is>
          <t>CALC_TOL</t>
        </is>
      </c>
      <c r="B21" s="28" t="inlineStr">
        <is>
          <t>검사 기준</t>
        </is>
      </c>
      <c r="C21" s="28" t="inlineStr">
        <is>
          <t>계산 허용 오차(수작업 대비)</t>
        </is>
      </c>
      <c r="D21" s="29" t="n">
        <v>0.001</v>
      </c>
      <c r="E21" s="28" t="inlineStr">
        <is>
          <t>상대오차</t>
        </is>
      </c>
      <c r="F21" s="28" t="inlineStr">
        <is>
          <t>자동 계산과 수작업 기준 계산의 상대오차 0.1% 이내</t>
        </is>
      </c>
    </row>
    <row r="22" ht="29.85" customHeight="1" s="20">
      <c r="A22" s="27" t="inlineStr">
        <is>
          <t>STOICH_TOL</t>
        </is>
      </c>
      <c r="B22" s="28" t="inlineStr">
        <is>
          <t>검사 기준</t>
        </is>
      </c>
      <c r="C22" s="28" t="inlineStr">
        <is>
          <t>화학양론 일관성 허용 범위</t>
        </is>
      </c>
      <c r="D22" s="30" t="n">
        <v>0.1</v>
      </c>
      <c r="E22" s="28" t="inlineStr">
        <is>
          <t>상대오차</t>
        </is>
      </c>
      <c r="F22" s="28" t="inlineStr">
        <is>
          <t>예시값. 반응 메탄 기준 H2·C 이론량 대비 ±10% 밖이면 '확인 필요'. 실제 적용 시 측정 오차 수준에 맞춰 조정</t>
        </is>
      </c>
    </row>
    <row r="23" ht="23.85" customHeight="1" s="20">
      <c r="A23" s="27" t="inlineStr">
        <is>
          <t>ELEC_INTENSITY_MIN</t>
        </is>
      </c>
      <c r="B23" s="28" t="inlineStr">
        <is>
          <t>검사 기준</t>
        </is>
      </c>
      <c r="C23" s="28" t="inlineStr">
        <is>
          <t>전력 원단위 하한</t>
        </is>
      </c>
      <c r="D23" s="31" t="n">
        <v>5</v>
      </c>
      <c r="E23" s="27" t="inlineStr">
        <is>
          <t>kWh/kg-H2</t>
        </is>
      </c>
      <c r="F23" s="28" t="inlineStr">
        <is>
          <t>예시값. 배치 전체 전력 ÷ 수소 생산량이 범위 밖이면 단위 오기 의심 '확인 필요'</t>
        </is>
      </c>
    </row>
    <row r="24" ht="23.85" customHeight="1" s="20">
      <c r="A24" s="27" t="inlineStr">
        <is>
          <t>ELEC_INTENSITY_MAX</t>
        </is>
      </c>
      <c r="B24" s="28" t="inlineStr">
        <is>
          <t>검사 기준</t>
        </is>
      </c>
      <c r="C24" s="28" t="inlineStr">
        <is>
          <t>전력 원단위 상한</t>
        </is>
      </c>
      <c r="D24" s="31" t="n">
        <v>100</v>
      </c>
      <c r="E24" s="27" t="inlineStr">
        <is>
          <t>kWh/kg-H2</t>
        </is>
      </c>
      <c r="F24" s="28" t="inlineStr">
        <is>
          <t>예시값. 실제 적용 시 동일 장비 과거 실험 범위로 교체</t>
        </is>
      </c>
    </row>
    <row r="25" ht="15" customHeight="1" s="20">
      <c r="A25" s="27" t="inlineStr">
        <is>
          <t>RULE_MISSING</t>
        </is>
      </c>
      <c r="B25" s="28" t="inlineStr">
        <is>
          <t>검사 규칙</t>
        </is>
      </c>
      <c r="C25" s="28" t="inlineStr">
        <is>
          <t>필수값 누락</t>
        </is>
      </c>
      <c r="D25" s="28" t="inlineStr">
        <is>
          <t>자료 부족 · 계산 보류</t>
        </is>
      </c>
      <c r="E25" s="27" t="inlineStr">
        <is>
          <t>-</t>
        </is>
      </c>
      <c r="F25" s="28" t="inlineStr">
        <is>
          <t>필요한 항목명과 측정 구간을 안내</t>
        </is>
      </c>
    </row>
    <row r="26" ht="15" customHeight="1" s="20">
      <c r="A26" s="27" t="inlineStr">
        <is>
          <t>RULE_DUPLICATE</t>
        </is>
      </c>
      <c r="B26" s="28" t="inlineStr">
        <is>
          <t>검사 규칙</t>
        </is>
      </c>
      <c r="C26" s="28" t="inlineStr">
        <is>
          <t>중복 기록</t>
        </is>
      </c>
      <c r="D26" s="28" t="inlineStr">
        <is>
          <t>확인 필요 · 계산 보류</t>
        </is>
      </c>
      <c r="E26" s="27" t="inlineStr">
        <is>
          <t>-</t>
        </is>
      </c>
      <c r="F26" s="28" t="inlineStr">
        <is>
          <t>같은 실험ID·구간·항목이 2행 이상. 자동 삭제하지 않음</t>
        </is>
      </c>
    </row>
    <row r="27" ht="23.85" customHeight="1" s="20">
      <c r="A27" s="27" t="inlineStr">
        <is>
          <t>RULE_H2_NONPOSITIVE</t>
        </is>
      </c>
      <c r="B27" s="28" t="inlineStr">
        <is>
          <t>검사 규칙</t>
        </is>
      </c>
      <c r="C27" s="28" t="inlineStr">
        <is>
          <t>수소 생산량 0 이하</t>
        </is>
      </c>
      <c r="D27" s="28" t="inlineStr">
        <is>
          <t>계산 불가</t>
        </is>
      </c>
      <c r="E27" s="27" t="inlineStr">
        <is>
          <t>-</t>
        </is>
      </c>
      <c r="F27" s="28" t="inlineStr">
        <is>
          <t>기능단위 환산 불가(0으로 나누기 방지). 사유 표시</t>
        </is>
      </c>
    </row>
    <row r="28" ht="23.85" customHeight="1" s="20">
      <c r="A28" s="27" t="inlineStr">
        <is>
          <t>RULE_ELEC_OUTLIER</t>
        </is>
      </c>
      <c r="B28" s="28" t="inlineStr">
        <is>
          <t>검사 규칙</t>
        </is>
      </c>
      <c r="C28" s="28" t="inlineStr">
        <is>
          <t>전력 원단위 범위 이탈</t>
        </is>
      </c>
      <c r="D28" s="28" t="inlineStr">
        <is>
          <t>확인 필요 · 계산 보류</t>
        </is>
      </c>
      <c r="E28" s="27" t="inlineStr">
        <is>
          <t>-</t>
        </is>
      </c>
      <c r="F28" s="28" t="inlineStr">
        <is>
          <t>단위 오기 의심. 원자료 대조·수정 후 재검사</t>
        </is>
      </c>
    </row>
    <row r="29" ht="29.85" customHeight="1" s="20">
      <c r="A29" s="27" t="inlineStr">
        <is>
          <t>ACK_ALLOWED</t>
        </is>
      </c>
      <c r="B29" s="28" t="inlineStr">
        <is>
          <t>검사 규칙</t>
        </is>
      </c>
      <c r="C29" s="28" t="inlineStr">
        <is>
          <t>연구자 확인 후 계산 진행이 허용되는 검사</t>
        </is>
      </c>
      <c r="D29" s="28" t="inlineStr">
        <is>
          <t>전력 원단위 이상치</t>
        </is>
      </c>
      <c r="E29" s="27" t="inlineStr">
        <is>
          <t>-</t>
        </is>
      </c>
      <c r="F29" s="28" t="inlineStr">
        <is>
          <t>원자료 대조로 값이 맞다고 확인된 경우에만 사용. 경고는 영수증에 그대로 남김. 필수값 누락·중복 기록·단위 미인식은 확인 표시로 넘어갈 수 없음</t>
        </is>
      </c>
    </row>
    <row r="30" ht="29.85" customHeight="1" s="20">
      <c r="A30" s="27" t="inlineStr">
        <is>
          <t>RULE_RANGE</t>
        </is>
      </c>
      <c r="B30" s="28" t="inlineStr">
        <is>
          <t>검사 규칙</t>
        </is>
      </c>
      <c r="C30" s="28" t="inlineStr">
        <is>
          <t>값 범위·물리 한계 위반</t>
        </is>
      </c>
      <c r="D30" s="28" t="inlineStr">
        <is>
          <t>확인 필요 · 계산 보류</t>
        </is>
      </c>
      <c r="E30" s="27" t="inlineStr">
        <is>
          <t>-</t>
        </is>
      </c>
      <c r="F30" s="28" t="inlineStr">
        <is>
          <t>음수 소비량, 몰분율·온도 범위 밖, 정수가 아닌 사용 횟수, 투입보다 많은 미반응 메탄, 수소 생산량에 비해 부족한 메탄 신규 공급량, 등록되지 않은 구간·항목코드</t>
        </is>
      </c>
    </row>
    <row r="31" ht="29.85" customHeight="1" s="20">
      <c r="A31" s="27" t="inlineStr">
        <is>
          <t>RULE_EF_INVALID</t>
        </is>
      </c>
      <c r="B31" s="28" t="inlineStr">
        <is>
          <t>검사 규칙</t>
        </is>
      </c>
      <c r="C31" s="28" t="inlineStr">
        <is>
          <t>배출계수 단위·값·중복 문제</t>
        </is>
      </c>
      <c r="D31" s="28" t="inlineStr">
        <is>
          <t>확인 필요 · 계산 보류</t>
        </is>
      </c>
      <c r="E31" s="27" t="inlineStr">
        <is>
          <t>-</t>
        </is>
      </c>
      <c r="F31" s="28" t="inlineStr">
        <is>
          <t>계수 단위의 분모가 활동량 표준단위와 다름(자동 환산하지 않음), 음수 계수, 같은 버전·항목코드에 계수 2개 이상</t>
        </is>
      </c>
    </row>
    <row r="32" ht="58.2" customHeight="1" s="20">
      <c r="A32" s="27" t="inlineStr">
        <is>
          <t>REQUIRED_ROWS</t>
        </is>
      </c>
      <c r="B32" s="28" t="inlineStr">
        <is>
          <t>검사 기준</t>
        </is>
      </c>
      <c r="C32" s="28" t="inlineStr">
        <is>
          <t>필수 행(구간:항목코드)</t>
        </is>
      </c>
      <c r="D32" s="28" t="inlineStr">
        <is>
          <t>승온:ELEC, 승온:HEAT_EXT, 반응:CH4_NEW, 반응:TEMP, 반응:OP_TIME, 반응:ELEC, 반응:HEAT_EXT, 반응:H2_PROD, 반응:CAT_TYPE, 반응:CAT_MASS, 반응:CAT_USES, 중단:ELEC, 중단:HEAT_EXT</t>
        </is>
      </c>
      <c r="E32" s="27" t="inlineStr">
        <is>
          <t>-</t>
        </is>
      </c>
      <c r="F32" s="28" t="inlineStr">
        <is>
          <t>입력 파일의 필수/선택 표시와 별도로, 이 목록의 행이 없거나 값이 비어 있으면 자료 부족·계산 보류</t>
        </is>
      </c>
    </row>
    <row r="33" ht="23.85" customHeight="1" s="20">
      <c r="A33" s="27" t="inlineStr">
        <is>
          <t>ALLOWED_SEGMENTS</t>
        </is>
      </c>
      <c r="B33" s="28" t="inlineStr">
        <is>
          <t>검사 기준</t>
        </is>
      </c>
      <c r="C33" s="28" t="inlineStr">
        <is>
          <t>허용 구간</t>
        </is>
      </c>
      <c r="D33" s="28" t="inlineStr">
        <is>
          <t>승온, 반응, 중단</t>
        </is>
      </c>
      <c r="E33" s="27" t="inlineStr">
        <is>
          <t>-</t>
        </is>
      </c>
      <c r="F33" s="28" t="inlineStr">
        <is>
          <t>다른 이름의 구간 행은 집계에서 빠지므로 '확인 필요'</t>
        </is>
      </c>
    </row>
    <row r="34" ht="23.85" customHeight="1" s="20">
      <c r="A34" s="27" t="inlineStr">
        <is>
          <t>NONNEG_CODES</t>
        </is>
      </c>
      <c r="B34" s="28" t="inlineStr">
        <is>
          <t>검사 기준</t>
        </is>
      </c>
      <c r="C34" s="28" t="inlineStr">
        <is>
          <t>음수가 될 수 없는 항목코드</t>
        </is>
      </c>
      <c r="D34" s="27" t="inlineStr">
        <is>
          <t>ELEC, HEAT_EXT, CH4_NEW, CH4_IN, CH4_OUT, H2_PROD, C_REC, C_ACC, CAT_MASS, OP_TIME</t>
        </is>
      </c>
      <c r="E34" s="27" t="inlineStr">
        <is>
          <t>-</t>
        </is>
      </c>
      <c r="F34" s="28" t="inlineStr">
        <is>
          <t>질량·에너지·시간 항목. 0은 허용</t>
        </is>
      </c>
    </row>
    <row r="35" ht="15" customHeight="1" s="20">
      <c r="A35" s="27" t="inlineStr">
        <is>
          <t>INT_MIN1_CODES</t>
        </is>
      </c>
      <c r="B35" s="28" t="inlineStr">
        <is>
          <t>검사 기준</t>
        </is>
      </c>
      <c r="C35" s="27" t="inlineStr">
        <is>
          <t>1 이상의 정수여야 하는 항목코드</t>
        </is>
      </c>
      <c r="D35" s="27" t="inlineStr">
        <is>
          <t>CAT_USES</t>
        </is>
      </c>
      <c r="E35" s="27" t="inlineStr">
        <is>
          <t>-</t>
        </is>
      </c>
      <c r="F35" s="28" t="inlineStr">
        <is>
          <t>촉매 최초 사용 포함 총 사용 횟수</t>
        </is>
      </c>
    </row>
    <row r="36" ht="15" customHeight="1" s="20">
      <c r="A36" s="27" t="inlineStr">
        <is>
          <t>POSITIVE_ROWS</t>
        </is>
      </c>
      <c r="B36" s="28" t="inlineStr">
        <is>
          <t>검사 기준</t>
        </is>
      </c>
      <c r="C36" s="27" t="inlineStr">
        <is>
          <t>0보다 커야 하는 행(구간:항목코드)</t>
        </is>
      </c>
      <c r="D36" s="28" t="inlineStr">
        <is>
          <t>반응:OP_TIME</t>
        </is>
      </c>
      <c r="E36" s="27" t="inlineStr">
        <is>
          <t>-</t>
        </is>
      </c>
      <c r="F36" s="28" t="inlineStr">
        <is>
          <t>수소가 생산된 반응 구간의 운전시간이 0이면 기록 오류로 봄</t>
        </is>
      </c>
    </row>
    <row r="37" ht="15" customHeight="1" s="20">
      <c r="A37" s="27" t="inlineStr">
        <is>
          <t>SUM_MAX_X</t>
        </is>
      </c>
      <c r="B37" s="28" t="inlineStr">
        <is>
          <t>검사 기준</t>
        </is>
      </c>
      <c r="C37" s="28" t="inlineStr">
        <is>
          <t>몰분율 합 상한(X_CH4 + X_H2)</t>
        </is>
      </c>
      <c r="D37" s="27" t="n">
        <v>1</v>
      </c>
      <c r="E37" s="27" t="inlineStr">
        <is>
          <t>mol/mol</t>
        </is>
      </c>
      <c r="F37" s="28" t="inlineStr">
        <is>
          <t>출구 가스 성분 몰분율의 합은 1을 넘을 수 없음</t>
        </is>
      </c>
    </row>
    <row r="38" ht="15" customHeight="1" s="20">
      <c r="A38" s="27" t="inlineStr">
        <is>
          <t>RANGE_X_CH4</t>
        </is>
      </c>
      <c r="B38" s="28" t="inlineStr">
        <is>
          <t>검사 기준</t>
        </is>
      </c>
      <c r="C38" s="27" t="inlineStr">
        <is>
          <t>X_CH4</t>
        </is>
      </c>
      <c r="D38" s="27" t="inlineStr">
        <is>
          <t>0~1</t>
        </is>
      </c>
      <c r="E38" s="27" t="inlineStr">
        <is>
          <t>mol/mol</t>
        </is>
      </c>
      <c r="F38" s="28" t="inlineStr">
        <is>
          <t>몰분율 허용 범위</t>
        </is>
      </c>
    </row>
    <row r="39" ht="15" customHeight="1" s="20">
      <c r="A39" s="27" t="inlineStr">
        <is>
          <t>RANGE_X_H2</t>
        </is>
      </c>
      <c r="B39" s="28" t="inlineStr">
        <is>
          <t>검사 기준</t>
        </is>
      </c>
      <c r="C39" s="27" t="inlineStr">
        <is>
          <t>X_H2</t>
        </is>
      </c>
      <c r="D39" s="27" t="inlineStr">
        <is>
          <t>0~1</t>
        </is>
      </c>
      <c r="E39" s="27" t="inlineStr">
        <is>
          <t>mol/mol</t>
        </is>
      </c>
      <c r="F39" s="28" t="inlineStr">
        <is>
          <t>몰분율 허용 범위</t>
        </is>
      </c>
    </row>
    <row r="40" ht="15" customHeight="1" s="20">
      <c r="A40" s="27" t="inlineStr">
        <is>
          <t>RANGE_H2_PURITY</t>
        </is>
      </c>
      <c r="B40" s="28" t="inlineStr">
        <is>
          <t>검사 기준</t>
        </is>
      </c>
      <c r="C40" s="27" t="inlineStr">
        <is>
          <t>H2_PURITY</t>
        </is>
      </c>
      <c r="D40" s="27" t="inlineStr">
        <is>
          <t>0~1</t>
        </is>
      </c>
      <c r="E40" s="27" t="inlineStr">
        <is>
          <t>mol/mol</t>
        </is>
      </c>
      <c r="F40" s="28" t="inlineStr">
        <is>
          <t>표준단위(mol/mol) 환산 후 허용 범위</t>
        </is>
      </c>
    </row>
    <row r="41" ht="15" customHeight="1" s="20">
      <c r="A41" s="27" t="inlineStr">
        <is>
          <t>RANGE_TEMP</t>
        </is>
      </c>
      <c r="B41" s="28" t="inlineStr">
        <is>
          <t>검사 기준</t>
        </is>
      </c>
      <c r="C41" s="27" t="inlineStr">
        <is>
          <t>TEMP</t>
        </is>
      </c>
      <c r="D41" s="31" t="inlineStr">
        <is>
          <t>0~1500</t>
        </is>
      </c>
      <c r="E41" s="27" t="inlineStr">
        <is>
          <t>℃</t>
        </is>
      </c>
      <c r="F41" s="28" t="inlineStr">
        <is>
          <t>예시값. 메탄 열분해 실험의 반응온도로 볼 수 있는 범위</t>
        </is>
      </c>
    </row>
    <row r="42" ht="29.85" customHeight="1" s="20">
      <c r="A42" s="27" t="inlineStr">
        <is>
          <t>CH4_BALANCE_RULE</t>
        </is>
      </c>
      <c r="B42" s="28" t="inlineStr">
        <is>
          <t>검사 기준</t>
        </is>
      </c>
      <c r="C42" s="28" t="inlineStr">
        <is>
          <t>메탄 질량 관계</t>
        </is>
      </c>
      <c r="D42" s="27" t="inlineStr">
        <is>
          <t>CH4_OUT ≤ CH4_IN; CH4_NEW ≥ H2_PROD×M_CH4÷(2×M_H2)×(1−STOICH_TOL)</t>
        </is>
      </c>
      <c r="E42" s="27" t="inlineStr">
        <is>
          <t>-</t>
        </is>
      </c>
      <c r="F42" s="28" t="inlineStr">
        <is>
          <t>미반응 메탄이 투입량보다 많거나, 메탄 신규 공급량이 보고된 수소를 만들 수 있는 이론 최소량보다 적으면 '확인 필요'</t>
        </is>
      </c>
    </row>
    <row r="43" ht="15" customHeight="1" s="20">
      <c r="A43" s="27" t="inlineStr">
        <is>
          <t>EFU_ELEC</t>
        </is>
      </c>
      <c r="B43" s="28" t="inlineStr">
        <is>
          <t>배출계수 단위</t>
        </is>
      </c>
      <c r="C43" s="27" t="inlineStr">
        <is>
          <t>ELEC</t>
        </is>
      </c>
      <c r="D43" s="27" t="inlineStr">
        <is>
          <t>kgCO2-eq/kWh</t>
        </is>
      </c>
      <c r="E43" s="27" t="inlineStr">
        <is>
          <t>-</t>
        </is>
      </c>
      <c r="F43" s="28" t="inlineStr">
        <is>
          <t>활동량 표준단위(kWh)에 맞는 계수 단위. 다르면 자동 환산하지 않고 보류</t>
        </is>
      </c>
    </row>
    <row r="44" ht="15" customHeight="1" s="20">
      <c r="A44" s="27" t="inlineStr">
        <is>
          <t>EFU_HEAT_EXT</t>
        </is>
      </c>
      <c r="B44" s="28" t="inlineStr">
        <is>
          <t>배출계수 단위</t>
        </is>
      </c>
      <c r="C44" s="27" t="inlineStr">
        <is>
          <t>HEAT_EXT</t>
        </is>
      </c>
      <c r="D44" s="27" t="inlineStr">
        <is>
          <t>kgCO2-eq/MJ</t>
        </is>
      </c>
      <c r="E44" s="27" t="inlineStr">
        <is>
          <t>-</t>
        </is>
      </c>
      <c r="F44" s="27" t="n"/>
    </row>
    <row r="45" ht="15" customHeight="1" s="20">
      <c r="A45" s="27" t="inlineStr">
        <is>
          <t>EFU_CH4_NEW</t>
        </is>
      </c>
      <c r="B45" s="28" t="inlineStr">
        <is>
          <t>배출계수 단위</t>
        </is>
      </c>
      <c r="C45" s="27" t="inlineStr">
        <is>
          <t>CH4_NEW</t>
        </is>
      </c>
      <c r="D45" s="27" t="inlineStr">
        <is>
          <t>kgCO2-eq/kg-CH4</t>
        </is>
      </c>
      <c r="E45" s="27" t="inlineStr">
        <is>
          <t>-</t>
        </is>
      </c>
      <c r="F45" s="27" t="n"/>
    </row>
    <row r="46" ht="15" customHeight="1" s="20">
      <c r="A46" s="27" t="inlineStr">
        <is>
          <t>EFU_CAT_MASS</t>
        </is>
      </c>
      <c r="B46" s="28" t="inlineStr">
        <is>
          <t>배출계수 단위</t>
        </is>
      </c>
      <c r="C46" s="27" t="inlineStr">
        <is>
          <t>CAT_MASS</t>
        </is>
      </c>
      <c r="D46" s="27" t="inlineStr">
        <is>
          <t>kgCO2-eq/kg-촉매</t>
        </is>
      </c>
      <c r="E46" s="27" t="inlineStr">
        <is>
          <t>-</t>
        </is>
      </c>
      <c r="F46" s="27" t="n"/>
    </row>
    <row r="47" ht="15" customHeight="1" s="20">
      <c r="A47" s="27" t="inlineStr">
        <is>
          <t>RULE_STOICH</t>
        </is>
      </c>
      <c r="B47" s="28" t="inlineStr">
        <is>
          <t>검사 규칙</t>
        </is>
      </c>
      <c r="C47" s="28" t="inlineStr">
        <is>
          <t>화학양론 불일치</t>
        </is>
      </c>
      <c r="D47" s="28" t="inlineStr">
        <is>
          <t>확인 필요 · 계산 수행(경고 표시)</t>
        </is>
      </c>
      <c r="E47" s="27" t="inlineStr">
        <is>
          <t>-</t>
        </is>
      </c>
      <c r="F47" s="28" t="inlineStr">
        <is>
          <t>가능 원인(입력 오류 / 반응기 내 축적 / 미측정 유출)을 영수증에 표시</t>
        </is>
      </c>
    </row>
    <row r="48" ht="23.85" customHeight="1" s="20">
      <c r="A48" s="27" t="inlineStr">
        <is>
          <t>RULE_UNIT_UNKNOWN</t>
        </is>
      </c>
      <c r="B48" s="28" t="inlineStr">
        <is>
          <t>검사 규칙</t>
        </is>
      </c>
      <c r="C48" s="28" t="inlineStr">
        <is>
          <t>인식할 수 없는 단위</t>
        </is>
      </c>
      <c r="D48" s="28" t="inlineStr">
        <is>
          <t>확인 필요 · 계산 보류</t>
        </is>
      </c>
      <c r="E48" s="27" t="inlineStr">
        <is>
          <t>-</t>
        </is>
      </c>
      <c r="F48" s="28" t="inlineStr">
        <is>
          <t>단위환산표에 없거나 표준단위와 차원이 다른 단위</t>
        </is>
      </c>
    </row>
    <row r="49" ht="15" customHeight="1" s="20">
      <c r="A49" s="27" t="inlineStr">
        <is>
          <t>RULE_EF_MISSING</t>
        </is>
      </c>
      <c r="B49" s="28" t="inlineStr">
        <is>
          <t>검사 규칙</t>
        </is>
      </c>
      <c r="C49" s="28" t="inlineStr">
        <is>
          <t>배출계수 없음</t>
        </is>
      </c>
      <c r="D49" s="28" t="inlineStr">
        <is>
          <t>자료 부족 · 계산 보류</t>
        </is>
      </c>
      <c r="E49" s="27" t="inlineStr">
        <is>
          <t>-</t>
        </is>
      </c>
      <c r="F49" s="28" t="inlineStr">
        <is>
          <t>적용 버전의 배출계수 중 항목코드에 맞는 계수가 없음(예: 촉매 종류)</t>
        </is>
      </c>
    </row>
    <row r="50" ht="15" customHeight="1" s="20">
      <c r="A50" s="27" t="inlineStr">
        <is>
          <t>STD_OP_TIME</t>
        </is>
      </c>
      <c r="B50" s="28" t="inlineStr">
        <is>
          <t>표준단위</t>
        </is>
      </c>
      <c r="C50" s="27" t="inlineStr">
        <is>
          <t>OP_TIME</t>
        </is>
      </c>
      <c r="D50" s="27" t="inlineStr">
        <is>
          <t>h</t>
        </is>
      </c>
      <c r="E50" s="27" t="inlineStr">
        <is>
          <t>-</t>
        </is>
      </c>
      <c r="F50" s="28" t="inlineStr">
        <is>
          <t>항목코드별 표준단위. 입력단위가 이와 다르면 단위환산표로 환산</t>
        </is>
      </c>
    </row>
    <row r="51" ht="15" customHeight="1" s="20">
      <c r="A51" s="27" t="inlineStr">
        <is>
          <t>STD_ELEC</t>
        </is>
      </c>
      <c r="B51" s="28" t="inlineStr">
        <is>
          <t>표준단위</t>
        </is>
      </c>
      <c r="C51" s="27" t="inlineStr">
        <is>
          <t>ELEC</t>
        </is>
      </c>
      <c r="D51" s="27" t="inlineStr">
        <is>
          <t>kWh</t>
        </is>
      </c>
      <c r="E51" s="27" t="inlineStr">
        <is>
          <t>-</t>
        </is>
      </c>
      <c r="F51" s="27" t="n"/>
    </row>
    <row r="52" ht="15" customHeight="1" s="20">
      <c r="A52" s="27" t="inlineStr">
        <is>
          <t>STD_HEAT_EXT</t>
        </is>
      </c>
      <c r="B52" s="28" t="inlineStr">
        <is>
          <t>표준단위</t>
        </is>
      </c>
      <c r="C52" s="27" t="inlineStr">
        <is>
          <t>HEAT_EXT</t>
        </is>
      </c>
      <c r="D52" s="27" t="inlineStr">
        <is>
          <t>MJ</t>
        </is>
      </c>
      <c r="E52" s="27" t="inlineStr">
        <is>
          <t>-</t>
        </is>
      </c>
      <c r="F52" s="27" t="n"/>
    </row>
    <row r="53" ht="15" customHeight="1" s="20">
      <c r="A53" s="27" t="inlineStr">
        <is>
          <t>STD_CH4_NEW</t>
        </is>
      </c>
      <c r="B53" s="28" t="inlineStr">
        <is>
          <t>표준단위</t>
        </is>
      </c>
      <c r="C53" s="27" t="inlineStr">
        <is>
          <t>CH4_NEW</t>
        </is>
      </c>
      <c r="D53" s="27" t="inlineStr">
        <is>
          <t>kg</t>
        </is>
      </c>
      <c r="E53" s="27" t="inlineStr">
        <is>
          <t>-</t>
        </is>
      </c>
      <c r="F53" s="27" t="n"/>
    </row>
    <row r="54" ht="15" customHeight="1" s="20">
      <c r="A54" s="27" t="inlineStr">
        <is>
          <t>STD_CH4_IN</t>
        </is>
      </c>
      <c r="B54" s="28" t="inlineStr">
        <is>
          <t>표준단위</t>
        </is>
      </c>
      <c r="C54" s="27" t="inlineStr">
        <is>
          <t>CH4_IN</t>
        </is>
      </c>
      <c r="D54" s="27" t="inlineStr">
        <is>
          <t>kg</t>
        </is>
      </c>
      <c r="E54" s="27" t="inlineStr">
        <is>
          <t>-</t>
        </is>
      </c>
      <c r="F54" s="27" t="n"/>
    </row>
    <row r="55" ht="15" customHeight="1" s="20">
      <c r="A55" s="27" t="inlineStr">
        <is>
          <t>STD_CH4_OUT</t>
        </is>
      </c>
      <c r="B55" s="28" t="inlineStr">
        <is>
          <t>표준단위</t>
        </is>
      </c>
      <c r="C55" s="27" t="inlineStr">
        <is>
          <t>CH4_OUT</t>
        </is>
      </c>
      <c r="D55" s="27" t="inlineStr">
        <is>
          <t>kg</t>
        </is>
      </c>
      <c r="E55" s="27" t="inlineStr">
        <is>
          <t>-</t>
        </is>
      </c>
      <c r="F55" s="27" t="n"/>
    </row>
    <row r="56" ht="15" customHeight="1" s="20">
      <c r="A56" s="27" t="inlineStr">
        <is>
          <t>STD_X_CH4</t>
        </is>
      </c>
      <c r="B56" s="28" t="inlineStr">
        <is>
          <t>표준단위</t>
        </is>
      </c>
      <c r="C56" s="27" t="inlineStr">
        <is>
          <t>X_CH4</t>
        </is>
      </c>
      <c r="D56" s="27" t="inlineStr">
        <is>
          <t>mol/mol</t>
        </is>
      </c>
      <c r="E56" s="27" t="inlineStr">
        <is>
          <t>-</t>
        </is>
      </c>
      <c r="F56" s="27" t="n"/>
    </row>
    <row r="57" ht="15" customHeight="1" s="20">
      <c r="A57" s="27" t="inlineStr">
        <is>
          <t>STD_X_H2</t>
        </is>
      </c>
      <c r="B57" s="28" t="inlineStr">
        <is>
          <t>표준단위</t>
        </is>
      </c>
      <c r="C57" s="27" t="inlineStr">
        <is>
          <t>X_H2</t>
        </is>
      </c>
      <c r="D57" s="27" t="inlineStr">
        <is>
          <t>mol/mol</t>
        </is>
      </c>
      <c r="E57" s="27" t="inlineStr">
        <is>
          <t>-</t>
        </is>
      </c>
      <c r="F57" s="27" t="n"/>
    </row>
    <row r="58" ht="15" customHeight="1" s="20">
      <c r="A58" s="27" t="inlineStr">
        <is>
          <t>STD_TEMP</t>
        </is>
      </c>
      <c r="B58" s="28" t="inlineStr">
        <is>
          <t>표준단위</t>
        </is>
      </c>
      <c r="C58" s="27" t="inlineStr">
        <is>
          <t>TEMP</t>
        </is>
      </c>
      <c r="D58" s="27" t="inlineStr">
        <is>
          <t>℃</t>
        </is>
      </c>
      <c r="E58" s="27" t="inlineStr">
        <is>
          <t>-</t>
        </is>
      </c>
      <c r="F58" s="27" t="n"/>
    </row>
    <row r="59" ht="15" customHeight="1" s="20">
      <c r="A59" s="27" t="inlineStr">
        <is>
          <t>STD_H2_PROD</t>
        </is>
      </c>
      <c r="B59" s="28" t="inlineStr">
        <is>
          <t>표준단위</t>
        </is>
      </c>
      <c r="C59" s="27" t="inlineStr">
        <is>
          <t>H2_PROD</t>
        </is>
      </c>
      <c r="D59" s="27" t="inlineStr">
        <is>
          <t>kg</t>
        </is>
      </c>
      <c r="E59" s="27" t="inlineStr">
        <is>
          <t>-</t>
        </is>
      </c>
      <c r="F59" s="27" t="n"/>
    </row>
    <row r="60" ht="15" customHeight="1" s="20">
      <c r="A60" s="27" t="inlineStr">
        <is>
          <t>STD_H2_PURITY</t>
        </is>
      </c>
      <c r="B60" s="28" t="inlineStr">
        <is>
          <t>표준단위</t>
        </is>
      </c>
      <c r="C60" s="27" t="inlineStr">
        <is>
          <t>H2_PURITY</t>
        </is>
      </c>
      <c r="D60" s="27" t="inlineStr">
        <is>
          <t>mol/mol</t>
        </is>
      </c>
      <c r="E60" s="27" t="inlineStr">
        <is>
          <t>-</t>
        </is>
      </c>
      <c r="F60" s="27" t="n"/>
    </row>
    <row r="61" ht="15" customHeight="1" s="20">
      <c r="A61" s="27" t="inlineStr">
        <is>
          <t>STD_C_REC</t>
        </is>
      </c>
      <c r="B61" s="28" t="inlineStr">
        <is>
          <t>표준단위</t>
        </is>
      </c>
      <c r="C61" s="27" t="inlineStr">
        <is>
          <t>C_REC</t>
        </is>
      </c>
      <c r="D61" s="27" t="inlineStr">
        <is>
          <t>kg</t>
        </is>
      </c>
      <c r="E61" s="27" t="inlineStr">
        <is>
          <t>-</t>
        </is>
      </c>
      <c r="F61" s="27" t="n"/>
    </row>
    <row r="62" ht="15" customHeight="1" s="20">
      <c r="A62" s="27" t="inlineStr">
        <is>
          <t>STD_C_ACC</t>
        </is>
      </c>
      <c r="B62" s="28" t="inlineStr">
        <is>
          <t>표준단위</t>
        </is>
      </c>
      <c r="C62" s="27" t="inlineStr">
        <is>
          <t>C_ACC</t>
        </is>
      </c>
      <c r="D62" s="27" t="inlineStr">
        <is>
          <t>kg</t>
        </is>
      </c>
      <c r="E62" s="27" t="inlineStr">
        <is>
          <t>-</t>
        </is>
      </c>
      <c r="F62" s="27" t="n"/>
    </row>
    <row r="63" ht="15" customHeight="1" s="20">
      <c r="A63" s="27" t="inlineStr">
        <is>
          <t>STD_CAT_TYPE</t>
        </is>
      </c>
      <c r="B63" s="28" t="inlineStr">
        <is>
          <t>표준단위</t>
        </is>
      </c>
      <c r="C63" s="27" t="inlineStr">
        <is>
          <t>CAT_TYPE</t>
        </is>
      </c>
      <c r="D63" s="27" t="inlineStr">
        <is>
          <t>-</t>
        </is>
      </c>
      <c r="E63" s="27" t="inlineStr">
        <is>
          <t>-</t>
        </is>
      </c>
      <c r="F63" s="27" t="n"/>
    </row>
    <row r="64" ht="15" customHeight="1" s="20">
      <c r="A64" s="27" t="inlineStr">
        <is>
          <t>STD_CAT_MASS</t>
        </is>
      </c>
      <c r="B64" s="28" t="inlineStr">
        <is>
          <t>표준단위</t>
        </is>
      </c>
      <c r="C64" s="27" t="inlineStr">
        <is>
          <t>CAT_MASS</t>
        </is>
      </c>
      <c r="D64" s="27" t="inlineStr">
        <is>
          <t>kg</t>
        </is>
      </c>
      <c r="E64" s="27" t="inlineStr">
        <is>
          <t>-</t>
        </is>
      </c>
      <c r="F64" s="27" t="n"/>
    </row>
    <row r="65" ht="15" customHeight="1" s="20">
      <c r="A65" s="27" t="inlineStr">
        <is>
          <t>STD_CAT_USES</t>
        </is>
      </c>
      <c r="B65" s="28" t="inlineStr">
        <is>
          <t>표준단위</t>
        </is>
      </c>
      <c r="C65" s="27" t="inlineStr">
        <is>
          <t>CAT_USES</t>
        </is>
      </c>
      <c r="D65" s="28" t="inlineStr">
        <is>
          <t>회</t>
        </is>
      </c>
      <c r="E65" s="27" t="inlineStr">
        <is>
          <t>-</t>
        </is>
      </c>
      <c r="F65" s="27" t="n"/>
    </row>
    <row r="66" ht="15" customHeight="1" s="20">
      <c r="A66" s="27" t="inlineStr">
        <is>
          <t>M_CH4</t>
        </is>
      </c>
      <c r="B66" s="28" t="inlineStr">
        <is>
          <t>물성</t>
        </is>
      </c>
      <c r="C66" s="27" t="inlineStr">
        <is>
          <t>CH4 몰질량</t>
        </is>
      </c>
      <c r="D66" s="27" t="n">
        <v>16.043</v>
      </c>
      <c r="E66" s="27" t="inlineStr">
        <is>
          <t>g/mol</t>
        </is>
      </c>
      <c r="F66" s="28" t="inlineStr">
        <is>
          <t>화학양론 이론량 계산용</t>
        </is>
      </c>
    </row>
    <row r="67" ht="15" customHeight="1" s="20">
      <c r="A67" s="27" t="inlineStr">
        <is>
          <t>M_H2</t>
        </is>
      </c>
      <c r="B67" s="28" t="inlineStr">
        <is>
          <t>물성</t>
        </is>
      </c>
      <c r="C67" s="27" t="inlineStr">
        <is>
          <t>H2 몰질량</t>
        </is>
      </c>
      <c r="D67" s="27" t="n">
        <v>2.016</v>
      </c>
      <c r="E67" s="27" t="inlineStr">
        <is>
          <t>g/mol</t>
        </is>
      </c>
      <c r="F67" s="28" t="inlineStr">
        <is>
          <t>화학양론 이론량 계산용</t>
        </is>
      </c>
    </row>
    <row r="68" ht="15" customHeight="1" s="20">
      <c r="A68" s="27" t="inlineStr">
        <is>
          <t>M_C</t>
        </is>
      </c>
      <c r="B68" s="28" t="inlineStr">
        <is>
          <t>물성</t>
        </is>
      </c>
      <c r="C68" s="27" t="inlineStr">
        <is>
          <t>C 몰질량</t>
        </is>
      </c>
      <c r="D68" s="27" t="n">
        <v>12.011</v>
      </c>
      <c r="E68" s="27" t="inlineStr">
        <is>
          <t>g/mol</t>
        </is>
      </c>
      <c r="F68" s="28" t="inlineStr">
        <is>
          <t>화학양론 이론량 계산용</t>
        </is>
      </c>
    </row>
    <row r="69" ht="15" customHeight="1" s="20">
      <c r="A69" s="27" t="inlineStr">
        <is>
          <t>UNIT_Wh</t>
        </is>
      </c>
      <c r="B69" s="28" t="inlineStr">
        <is>
          <t>단위환산</t>
        </is>
      </c>
      <c r="C69" s="27" t="inlineStr">
        <is>
          <t>Wh</t>
        </is>
      </c>
      <c r="D69" s="27" t="n">
        <v>0.001</v>
      </c>
      <c r="E69" s="27" t="inlineStr">
        <is>
          <t>kWh</t>
        </is>
      </c>
      <c r="F69" s="28" t="inlineStr">
        <is>
          <t>입력단위 → 표준단위 곱하는 값</t>
        </is>
      </c>
    </row>
    <row r="70" ht="15" customHeight="1" s="20">
      <c r="A70" s="27" t="inlineStr">
        <is>
          <t>UNIT_kWh</t>
        </is>
      </c>
      <c r="B70" s="28" t="inlineStr">
        <is>
          <t>단위환산</t>
        </is>
      </c>
      <c r="C70" s="27" t="inlineStr">
        <is>
          <t>kWh</t>
        </is>
      </c>
      <c r="D70" s="27" t="n">
        <v>1</v>
      </c>
      <c r="E70" s="27" t="inlineStr">
        <is>
          <t>kWh</t>
        </is>
      </c>
      <c r="F70" s="27" t="n"/>
    </row>
    <row r="71" ht="15" customHeight="1" s="20">
      <c r="A71" s="27" t="inlineStr">
        <is>
          <t>UNIT_MWh</t>
        </is>
      </c>
      <c r="B71" s="28" t="inlineStr">
        <is>
          <t>단위환산</t>
        </is>
      </c>
      <c r="C71" s="27" t="inlineStr">
        <is>
          <t>MWh</t>
        </is>
      </c>
      <c r="D71" s="27" t="n">
        <v>1000</v>
      </c>
      <c r="E71" s="27" t="inlineStr">
        <is>
          <t>kWh</t>
        </is>
      </c>
      <c r="F71" s="27" t="n"/>
    </row>
    <row r="72" ht="15" customHeight="1" s="20">
      <c r="A72" s="27" t="inlineStr">
        <is>
          <t>UNIT_g</t>
        </is>
      </c>
      <c r="B72" s="28" t="inlineStr">
        <is>
          <t>단위환산</t>
        </is>
      </c>
      <c r="C72" s="27" t="inlineStr">
        <is>
          <t>g</t>
        </is>
      </c>
      <c r="D72" s="27" t="n">
        <v>0.001</v>
      </c>
      <c r="E72" s="27" t="inlineStr">
        <is>
          <t>kg</t>
        </is>
      </c>
      <c r="F72" s="27" t="n"/>
    </row>
    <row r="73" ht="15" customHeight="1" s="20">
      <c r="A73" s="27" t="inlineStr">
        <is>
          <t>UNIT_kg</t>
        </is>
      </c>
      <c r="B73" s="28" t="inlineStr">
        <is>
          <t>단위환산</t>
        </is>
      </c>
      <c r="C73" s="27" t="inlineStr">
        <is>
          <t>kg</t>
        </is>
      </c>
      <c r="D73" s="27" t="n">
        <v>1</v>
      </c>
      <c r="E73" s="27" t="inlineStr">
        <is>
          <t>kg</t>
        </is>
      </c>
      <c r="F73" s="27" t="n"/>
    </row>
    <row r="74" ht="15" customHeight="1" s="20">
      <c r="A74" s="27" t="inlineStr">
        <is>
          <t>UNIT_mg</t>
        </is>
      </c>
      <c r="B74" s="28" t="inlineStr">
        <is>
          <t>단위환산</t>
        </is>
      </c>
      <c r="C74" s="27" t="inlineStr">
        <is>
          <t>mg</t>
        </is>
      </c>
      <c r="D74" s="27" t="n">
        <v>1e-06</v>
      </c>
      <c r="E74" s="27" t="inlineStr">
        <is>
          <t>kg</t>
        </is>
      </c>
      <c r="F74" s="27" t="n"/>
    </row>
    <row r="75" ht="15" customHeight="1" s="20">
      <c r="A75" s="27" t="inlineStr">
        <is>
          <t>UNIT_kJ</t>
        </is>
      </c>
      <c r="B75" s="28" t="inlineStr">
        <is>
          <t>단위환산</t>
        </is>
      </c>
      <c r="C75" s="27" t="inlineStr">
        <is>
          <t>kJ</t>
        </is>
      </c>
      <c r="D75" s="27" t="n">
        <v>0.001</v>
      </c>
      <c r="E75" s="27" t="inlineStr">
        <is>
          <t>MJ</t>
        </is>
      </c>
      <c r="F75" s="27" t="n"/>
    </row>
    <row r="76" ht="15" customHeight="1" s="20">
      <c r="A76" s="27" t="inlineStr">
        <is>
          <t>UNIT_MJ</t>
        </is>
      </c>
      <c r="B76" s="28" t="inlineStr">
        <is>
          <t>단위환산</t>
        </is>
      </c>
      <c r="C76" s="27" t="inlineStr">
        <is>
          <t>MJ</t>
        </is>
      </c>
      <c r="D76" s="27" t="n">
        <v>1</v>
      </c>
      <c r="E76" s="27" t="inlineStr">
        <is>
          <t>MJ</t>
        </is>
      </c>
      <c r="F76" s="27" t="n"/>
    </row>
    <row r="77" ht="15" customHeight="1" s="20">
      <c r="A77" s="27" t="inlineStr">
        <is>
          <t>UNIT_min</t>
        </is>
      </c>
      <c r="B77" s="28" t="inlineStr">
        <is>
          <t>단위환산</t>
        </is>
      </c>
      <c r="C77" s="27" t="inlineStr">
        <is>
          <t>min</t>
        </is>
      </c>
      <c r="D77" s="27" t="n">
        <v>0.0166666666666667</v>
      </c>
      <c r="E77" s="27" t="inlineStr">
        <is>
          <t>h</t>
        </is>
      </c>
      <c r="F77" s="27" t="n"/>
    </row>
    <row r="78" ht="15" customHeight="1" s="20">
      <c r="A78" s="27" t="inlineStr">
        <is>
          <t>UNIT_h</t>
        </is>
      </c>
      <c r="B78" s="28" t="inlineStr">
        <is>
          <t>단위환산</t>
        </is>
      </c>
      <c r="C78" s="27" t="inlineStr">
        <is>
          <t>h</t>
        </is>
      </c>
      <c r="D78" s="27" t="n">
        <v>1</v>
      </c>
      <c r="E78" s="27" t="inlineStr">
        <is>
          <t>h</t>
        </is>
      </c>
      <c r="F78" s="27" t="n"/>
    </row>
    <row r="79" ht="15" customHeight="1" s="20">
      <c r="A79" s="27" t="inlineStr">
        <is>
          <t>UNIT_molpct</t>
        </is>
      </c>
      <c r="B79" s="28" t="inlineStr">
        <is>
          <t>단위환산</t>
        </is>
      </c>
      <c r="C79" s="27" t="inlineStr">
        <is>
          <t>mol%</t>
        </is>
      </c>
      <c r="D79" s="27" t="n">
        <v>0.01</v>
      </c>
      <c r="E79" s="27" t="inlineStr">
        <is>
          <t>mol/mol</t>
        </is>
      </c>
      <c r="F79" s="28" t="inlineStr">
        <is>
          <t>몰분율 입력 시</t>
        </is>
      </c>
    </row>
    <row r="80" ht="15" customHeight="1" s="20">
      <c r="A80" s="27" t="inlineStr">
        <is>
          <t>UNIT_molmol</t>
        </is>
      </c>
      <c r="B80" s="28" t="inlineStr">
        <is>
          <t>단위환산</t>
        </is>
      </c>
      <c r="C80" s="27" t="inlineStr">
        <is>
          <t>mol/mol</t>
        </is>
      </c>
      <c r="D80" s="27" t="n">
        <v>1</v>
      </c>
      <c r="E80" s="27" t="inlineStr">
        <is>
          <t>mol/mol</t>
        </is>
      </c>
      <c r="F80" s="27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K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19" min="1" max="1"/>
    <col width="18" customWidth="1" style="19" min="2" max="2"/>
    <col width="8" customWidth="1" style="19" min="3" max="3"/>
    <col width="18" customWidth="1" style="19" min="4" max="4"/>
    <col width="58" customWidth="1" style="19" min="5" max="5"/>
    <col width="12" customWidth="1" style="19" min="6" max="6"/>
    <col width="40" customWidth="1" style="19" min="7" max="7"/>
    <col width="14" customWidth="1" style="19" min="8" max="8"/>
    <col width="16" customWidth="1" style="19" min="9" max="9"/>
    <col width="3" customWidth="1" style="19" min="10" max="10"/>
    <col width="62" customWidth="1" style="19" min="11" max="11"/>
  </cols>
  <sheetData>
    <row r="1" ht="30" customHeight="1" s="20">
      <c r="A1" s="21" t="inlineStr">
        <is>
          <t>계수ID</t>
        </is>
      </c>
      <c r="B1" s="21" t="inlineStr">
        <is>
          <t>대상</t>
        </is>
      </c>
      <c r="C1" s="21" t="inlineStr">
        <is>
          <t>값</t>
        </is>
      </c>
      <c r="D1" s="21" t="inlineStr">
        <is>
          <t>단위</t>
        </is>
      </c>
      <c r="E1" s="21" t="inlineStr">
        <is>
          <t>출처</t>
        </is>
      </c>
      <c r="F1" s="21" t="inlineStr">
        <is>
          <t>기준연도</t>
        </is>
      </c>
      <c r="G1" s="21" t="inlineStr">
        <is>
          <t>적용 조건</t>
        </is>
      </c>
      <c r="H1" s="21" t="inlineStr">
        <is>
          <t>버전</t>
        </is>
      </c>
      <c r="I1" s="21" t="inlineStr">
        <is>
          <t>적용 항목코드</t>
        </is>
      </c>
      <c r="K1" s="22" t="inlineStr">
        <is>
          <t>작성 안내</t>
        </is>
      </c>
    </row>
    <row r="2" ht="29.85" customHeight="1" s="20">
      <c r="A2" s="27" t="inlineStr">
        <is>
          <t>EF-ELEC-01</t>
        </is>
      </c>
      <c r="B2" s="28" t="inlineStr">
        <is>
          <t>전력(계통)</t>
        </is>
      </c>
      <c r="C2" s="31" t="n">
        <v>0.45</v>
      </c>
      <c r="D2" s="27" t="inlineStr">
        <is>
          <t>kgCO2-eq/kWh</t>
        </is>
      </c>
      <c r="E2" s="32" t="inlineStr">
        <is>
          <t>예시값(시연용, 출처 아님). 실제 적용 시 확인할 출처 종류: 국가 고시 전력 배출계수 또는 LCA DB의 국가 전력 믹스 공정</t>
        </is>
      </c>
      <c r="F2" s="28" t="inlineStr">
        <is>
          <t>미정(예시)</t>
        </is>
      </c>
      <c r="G2" s="28" t="inlineStr">
        <is>
          <t>연구실 계통전력 사용. 승온·반응·중단 전 구간 전력에 적용</t>
        </is>
      </c>
      <c r="H2" s="27" t="inlineStr">
        <is>
          <t>EF-DEMO-v0.1</t>
        </is>
      </c>
      <c r="I2" s="27" t="inlineStr">
        <is>
          <t>ELEC</t>
        </is>
      </c>
      <c r="K2" s="26" t="inlineStr">
        <is>
          <t>모든 값은 시연용 예시값이며 공식 배출계수가 아니다.</t>
        </is>
      </c>
    </row>
    <row r="3" ht="29.85" customHeight="1" s="20">
      <c r="A3" s="27" t="inlineStr">
        <is>
          <t>EF-HEAT-01</t>
        </is>
      </c>
      <c r="B3" s="28" t="inlineStr">
        <is>
          <t>외부 공급열</t>
        </is>
      </c>
      <c r="C3" s="31" t="n">
        <v>0.07000000000000001</v>
      </c>
      <c r="D3" s="27" t="inlineStr">
        <is>
          <t>kgCO2-eq/MJ</t>
        </is>
      </c>
      <c r="E3" s="32" t="inlineStr">
        <is>
          <t>예시값(시연용, 출처 아님). 실제 적용 시 확인할 출처 종류: 열원 연료의 연소·상류 배출계수(국가 고유계수 또는 LCA DB)</t>
        </is>
      </c>
      <c r="F3" s="28" t="inlineStr">
        <is>
          <t>미정(예시)</t>
        </is>
      </c>
      <c r="G3" s="28" t="inlineStr">
        <is>
          <t>외부 공급열 &gt; 0일 때만 적용. 열원 종류별로 계수 분리 필요</t>
        </is>
      </c>
      <c r="H3" s="27" t="inlineStr">
        <is>
          <t>EF-DEMO-v0.1</t>
        </is>
      </c>
      <c r="I3" s="27" t="inlineStr">
        <is>
          <t>HEAT_EXT</t>
        </is>
      </c>
      <c r="K3" s="26" t="inlineStr">
        <is>
          <t>실제 적용 시 출처·기준연도·적용 지역·공급 경로를 확인한 계수로 교체하고 버전을 올린다(예: EF-v1.0).</t>
        </is>
      </c>
    </row>
    <row r="4" ht="29.85" customHeight="1" s="20">
      <c r="A4" s="27" t="inlineStr">
        <is>
          <t>EF-CH4-01</t>
        </is>
      </c>
      <c r="B4" s="28" t="inlineStr">
        <is>
          <t>메탄 생산·공급</t>
        </is>
      </c>
      <c r="C4" s="31" t="n">
        <v>0.6</v>
      </c>
      <c r="D4" s="27" t="inlineStr">
        <is>
          <t>kgCO2-eq/kg-CH4</t>
        </is>
      </c>
      <c r="E4" s="32" t="inlineStr">
        <is>
          <t>예시값(시연용, 출처 아님). 실제 적용 시 확인할 출처 종류: LCA DB의 천연가스(배관/LNG) 공급 공정 또는 실험용 고순도 메탄 제조 공정</t>
        </is>
      </c>
      <c r="F4" s="28" t="inlineStr">
        <is>
          <t>미정(예시)</t>
        </is>
      </c>
      <c r="G4" s="28" t="inlineStr">
        <is>
          <t>공급 경로(배관·LNG·고압용기) 가정을 명시해야 함</t>
        </is>
      </c>
      <c r="H4" s="27" t="inlineStr">
        <is>
          <t>EF-DEMO-v0.1</t>
        </is>
      </c>
      <c r="I4" s="27" t="inlineStr">
        <is>
          <t>CH4_NEW</t>
        </is>
      </c>
      <c r="K4" s="26" t="inlineStr">
        <is>
          <t>적용 항목코드: 계산 엔진이 '실험기록'의 항목코드와 연결하는 키. 촉매는 'CAT_MASS:촉매종류' 형식.</t>
        </is>
      </c>
    </row>
    <row r="5" ht="29.85" customHeight="1" s="20">
      <c r="A5" s="27" t="inlineStr">
        <is>
          <t>EF-CAT-FE</t>
        </is>
      </c>
      <c r="B5" s="28" t="inlineStr">
        <is>
          <t>촉매(Fe)</t>
        </is>
      </c>
      <c r="C5" s="31" t="n">
        <v>2</v>
      </c>
      <c r="D5" s="27" t="inlineStr">
        <is>
          <t>kgCO2-eq/kg-촉매</t>
        </is>
      </c>
      <c r="E5" s="32" t="inlineStr">
        <is>
          <t>예시값(시연용, 출처 아님). 실제 적용 시 확인할 출처 종류: LCA DB의 철 또는 해당 촉매 제조 공정(전구체·담체 포함 여부 확인)</t>
        </is>
      </c>
      <c r="F5" s="28" t="inlineStr">
        <is>
          <t>미정(예시)</t>
        </is>
      </c>
      <c r="G5" s="28" t="inlineStr">
        <is>
          <t>촉매 종류 = Fe일 때. 실험 1회 배분량에 적용</t>
        </is>
      </c>
      <c r="H5" s="27" t="inlineStr">
        <is>
          <t>EF-DEMO-v0.1</t>
        </is>
      </c>
      <c r="I5" s="27" t="inlineStr">
        <is>
          <t>CAT_MASS:Fe</t>
        </is>
      </c>
      <c r="K5" s="26" t="inlineStr">
        <is>
          <t>계산설정의 EF_VERSION과 버전이 같은 행만 사용한다.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M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19" min="1" max="1"/>
    <col width="7" customWidth="1" style="19" min="2" max="2"/>
    <col width="24" customWidth="1" style="19" min="3" max="3"/>
    <col width="11" customWidth="1" style="19" min="4" max="4"/>
    <col width="10" customWidth="1" style="19" min="5" max="5"/>
    <col width="9" customWidth="1" style="19" min="6" max="6"/>
    <col width="44" customWidth="1" style="19" min="7" max="7"/>
    <col width="9" customWidth="1" style="19" min="8" max="8"/>
    <col width="16" customWidth="1" style="19" min="9" max="9"/>
    <col width="58" customWidth="1" style="19" min="10" max="10"/>
    <col width="3" customWidth="1" style="19" min="11" max="11"/>
    <col width="62" customWidth="1" style="19" min="12" max="12"/>
    <col width="14" customWidth="1" style="19" min="13" max="13"/>
  </cols>
  <sheetData>
    <row r="1" ht="30" customHeight="1" s="20">
      <c r="A1" s="21" t="inlineStr">
        <is>
          <t>실험ID</t>
        </is>
      </c>
      <c r="B1" s="21" t="inlineStr">
        <is>
          <t>구간</t>
        </is>
      </c>
      <c r="C1" s="21" t="inlineStr">
        <is>
          <t>항목</t>
        </is>
      </c>
      <c r="D1" s="21" t="inlineStr">
        <is>
          <t>항목코드</t>
        </is>
      </c>
      <c r="E1" s="21" t="inlineStr">
        <is>
          <t>값</t>
        </is>
      </c>
      <c r="F1" s="21" t="inlineStr">
        <is>
          <t>단위</t>
        </is>
      </c>
      <c r="G1" s="21" t="inlineStr">
        <is>
          <t>측정 구간 설명</t>
        </is>
      </c>
      <c r="H1" s="21" t="inlineStr">
        <is>
          <t>필수/선택</t>
        </is>
      </c>
      <c r="I1" s="21" t="inlineStr">
        <is>
          <t>확보 구분</t>
        </is>
      </c>
      <c r="J1" s="21" t="inlineStr">
        <is>
          <t>비고</t>
        </is>
      </c>
      <c r="L1" s="22" t="inlineStr">
        <is>
          <t>작성 안내</t>
        </is>
      </c>
    </row>
    <row r="2" ht="15" customHeight="1" s="20">
      <c r="A2" s="33" t="inlineStr">
        <is>
          <t>EXP-800</t>
        </is>
      </c>
      <c r="B2" s="28" t="inlineStr">
        <is>
          <t>승온</t>
        </is>
      </c>
      <c r="C2" s="28" t="inlineStr">
        <is>
          <t>운전시간</t>
        </is>
      </c>
      <c r="D2" s="27" t="inlineStr">
        <is>
          <t>OP_TIME</t>
        </is>
      </c>
      <c r="E2" s="33" t="n">
        <v>1.5</v>
      </c>
      <c r="F2" s="33" t="inlineStr">
        <is>
          <t>h</t>
        </is>
      </c>
      <c r="G2" s="28" t="inlineStr">
        <is>
          <t>가열 시작 ~ 반응온도 도달(메탄 공급 시작 전)</t>
        </is>
      </c>
      <c r="H2" s="28" t="inlineStr">
        <is>
          <t>선택</t>
        </is>
      </c>
      <c r="I2" s="28" t="inlineStr">
        <is>
          <t>확인 전 판단 어려움</t>
        </is>
      </c>
      <c r="J2" s="28" t="inlineStr">
        <is>
          <t>승온 프로그램은 설정되지만 구간별 실제 소요시간을 따로 남기는지 확인 필요</t>
        </is>
      </c>
      <c r="L2" s="26" t="inlineStr">
        <is>
          <t>가상 실험 1건(EXP-800, 800℃, Fe 촉매)의 작성 예시다. 실제 측정값이 아니다.</t>
        </is>
      </c>
    </row>
    <row r="3" ht="29.85" customHeight="1" s="20">
      <c r="A3" s="33" t="inlineStr">
        <is>
          <t>EXP-800</t>
        </is>
      </c>
      <c r="B3" s="28" t="inlineStr">
        <is>
          <t>승온</t>
        </is>
      </c>
      <c r="C3" s="28" t="inlineStr">
        <is>
          <t>전력 사용량</t>
        </is>
      </c>
      <c r="D3" s="27" t="inlineStr">
        <is>
          <t>ELEC</t>
        </is>
      </c>
      <c r="E3" s="33" t="n">
        <v>1200</v>
      </c>
      <c r="F3" s="33" t="inlineStr">
        <is>
          <t>Wh</t>
        </is>
      </c>
      <c r="G3" s="28" t="inlineStr">
        <is>
          <t>가열 시작 ~ 메탄 공급 시작, 반응로·보조장비 전체</t>
        </is>
      </c>
      <c r="H3" s="28" t="inlineStr">
        <is>
          <t>필수</t>
        </is>
      </c>
      <c r="I3" s="28" t="inlineStr">
        <is>
          <t>추가 측정이 필요할 것으로 예상</t>
        </is>
      </c>
      <c r="J3" s="28" t="inlineStr">
        <is>
          <t>실험실 전기로는 전력량을 기록하지 않는 경우가 많아 전력량계 설치·로그 확인 필요</t>
        </is>
      </c>
      <c r="L3" s="26" t="inlineStr">
        <is>
          <t>단위는 일부러 Wh·g·kg를 섞어 적었다(단위 환산 확인용).</t>
        </is>
      </c>
    </row>
    <row r="4" ht="15" customHeight="1" s="20">
      <c r="A4" s="33" t="inlineStr">
        <is>
          <t>EXP-800</t>
        </is>
      </c>
      <c r="B4" s="28" t="inlineStr">
        <is>
          <t>승온</t>
        </is>
      </c>
      <c r="C4" s="28" t="inlineStr">
        <is>
          <t>외부 공급열</t>
        </is>
      </c>
      <c r="D4" s="27" t="inlineStr">
        <is>
          <t>HEAT_EXT</t>
        </is>
      </c>
      <c r="E4" s="33" t="n">
        <v>0</v>
      </c>
      <c r="F4" s="33" t="inlineStr">
        <is>
          <t>MJ</t>
        </is>
      </c>
      <c r="G4" s="28" t="inlineStr">
        <is>
          <t>승온 구간에 전기 외 열원(버너·예열기 등)으로 공급한 열</t>
        </is>
      </c>
      <c r="H4" s="28" t="inlineStr">
        <is>
          <t>필수</t>
        </is>
      </c>
      <c r="I4" s="28" t="inlineStr">
        <is>
          <t>확인 전 판단 어려움</t>
        </is>
      </c>
      <c r="J4" s="28" t="inlineStr">
        <is>
          <t>전기 가열만 쓰면 0 입력. 다른 열원 사용 여부는 장비 구성에 따라 다름</t>
        </is>
      </c>
    </row>
    <row r="5" ht="29.85" customHeight="1" s="20">
      <c r="A5" s="33" t="inlineStr">
        <is>
          <t>EXP-800</t>
        </is>
      </c>
      <c r="B5" s="28" t="inlineStr">
        <is>
          <t>반응</t>
        </is>
      </c>
      <c r="C5" s="28" t="inlineStr">
        <is>
          <t>메탄 신규 공급량</t>
        </is>
      </c>
      <c r="D5" s="27" t="inlineStr">
        <is>
          <t>CH4_NEW</t>
        </is>
      </c>
      <c r="E5" s="33" t="n">
        <v>1</v>
      </c>
      <c r="F5" s="33" t="inlineStr">
        <is>
          <t>kg</t>
        </is>
      </c>
      <c r="G5" s="28" t="inlineStr">
        <is>
          <t>메탄 공급 시작 ~ 중단, 외부에서 새로 공급한 메탄(재순환분 제외)</t>
        </is>
      </c>
      <c r="H5" s="28" t="inlineStr">
        <is>
          <t>필수</t>
        </is>
      </c>
      <c r="I5" s="28" t="inlineStr">
        <is>
          <t>확인 전 판단 어려움</t>
        </is>
      </c>
      <c r="J5" s="28" t="inlineStr">
        <is>
          <t>재순환 없는 일회 통과식이면 투입량과 같음. 재순환 구성·집계 방식 확인 필요</t>
        </is>
      </c>
      <c r="L5" s="22" t="inlineStr">
        <is>
          <t>정합성 검산(참고, 수식)</t>
        </is>
      </c>
      <c r="M5" s="22" t="inlineStr">
        <is>
          <t>값</t>
        </is>
      </c>
    </row>
    <row r="6" ht="29.85" customHeight="1" s="20">
      <c r="A6" s="33" t="inlineStr">
        <is>
          <t>EXP-800</t>
        </is>
      </c>
      <c r="B6" s="28" t="inlineStr">
        <is>
          <t>반응</t>
        </is>
      </c>
      <c r="C6" s="28" t="inlineStr">
        <is>
          <t>반응기 메탄 투입량</t>
        </is>
      </c>
      <c r="D6" s="27" t="inlineStr">
        <is>
          <t>CH4_IN</t>
        </is>
      </c>
      <c r="E6" s="33" t="n">
        <v>2</v>
      </c>
      <c r="F6" s="33" t="inlineStr">
        <is>
          <t>kg</t>
        </is>
      </c>
      <c r="G6" s="28" t="inlineStr">
        <is>
          <t>메탄 공급 시작 ~ 중단, 반응기 입구 기준(재순환분 포함)</t>
        </is>
      </c>
      <c r="H6" s="28" t="inlineStr">
        <is>
          <t>선택</t>
        </is>
      </c>
      <c r="I6" s="28" t="inlineStr">
        <is>
          <t>기록될 것으로 예상</t>
        </is>
      </c>
      <c r="J6" s="27" t="inlineStr">
        <is>
          <t>MFC 유량 설정값×공급시간으로 환산해 기록하는 경우가 많음. 화학양론 점검용</t>
        </is>
      </c>
      <c r="L6" s="34" t="inlineStr">
        <is>
          <t>반응 메탄량 (kg) = 투입 − 배출</t>
        </is>
      </c>
      <c r="M6" s="35">
        <f>E6-E7</f>
        <v/>
      </c>
    </row>
    <row r="7" ht="29.85" customHeight="1" s="20">
      <c r="A7" s="33" t="inlineStr">
        <is>
          <t>EXP-800</t>
        </is>
      </c>
      <c r="B7" s="28" t="inlineStr">
        <is>
          <t>반응</t>
        </is>
      </c>
      <c r="C7" s="28" t="inlineStr">
        <is>
          <t>반응기 메탄 배출량(미반응)</t>
        </is>
      </c>
      <c r="D7" s="27" t="inlineStr">
        <is>
          <t>CH4_OUT</t>
        </is>
      </c>
      <c r="E7" s="33" t="n">
        <v>1</v>
      </c>
      <c r="F7" s="33" t="inlineStr">
        <is>
          <t>kg</t>
        </is>
      </c>
      <c r="G7" s="28" t="inlineStr">
        <is>
          <t>메탄 공급 시작 ~ 중단, 반응기 출구의 미반응 메탄</t>
        </is>
      </c>
      <c r="H7" s="28" t="inlineStr">
        <is>
          <t>선택</t>
        </is>
      </c>
      <c r="I7" s="28" t="inlineStr">
        <is>
          <t>확인 전 판단 어려움</t>
        </is>
      </c>
      <c r="J7" s="28" t="inlineStr">
        <is>
          <t>출구 유량 실측인지, GC 조성·전환율로 역산하는지 연구실마다 다름. 화학양론 점검용</t>
        </is>
      </c>
      <c r="L7" s="36" t="inlineStr">
        <is>
          <t>H2 이론량 (kg) = 반응 메탄 × 2×M_H2/M_CH4</t>
        </is>
      </c>
      <c r="M7" s="37">
        <f>M6*2*INDEX(계산설정!D:D,MATCH("M_H2",계산설정!A:A,0))/INDEX(계산설정!D:D,MATCH("M_CH4",계산설정!A:A,0))</f>
        <v/>
      </c>
    </row>
    <row r="8" ht="15" customHeight="1" s="20">
      <c r="A8" s="33" t="inlineStr">
        <is>
          <t>EXP-800</t>
        </is>
      </c>
      <c r="B8" s="28" t="inlineStr">
        <is>
          <t>반응</t>
        </is>
      </c>
      <c r="C8" s="28" t="inlineStr">
        <is>
          <t>가스 조성 - CH4 몰분율</t>
        </is>
      </c>
      <c r="D8" s="27" t="inlineStr">
        <is>
          <t>X_CH4</t>
        </is>
      </c>
      <c r="E8" s="33" t="n">
        <v>0.334</v>
      </c>
      <c r="F8" s="33" t="inlineStr">
        <is>
          <t>mol/mol</t>
        </is>
      </c>
      <c r="G8" s="28" t="inlineStr">
        <is>
          <t>반응 구간 출구 가스, GC 분석(평균값)</t>
        </is>
      </c>
      <c r="H8" s="28" t="inlineStr">
        <is>
          <t>선택</t>
        </is>
      </c>
      <c r="I8" s="28" t="inlineStr">
        <is>
          <t>기록될 것으로 예상</t>
        </is>
      </c>
      <c r="J8" s="28" t="inlineStr">
        <is>
          <t>메탄 열분해 실험에서 GC 출구 조성 분석은 통상 수행됨</t>
        </is>
      </c>
      <c r="L8" s="36" t="inlineStr">
        <is>
          <t>H2 기록값 (kg)</t>
        </is>
      </c>
      <c r="M8" s="37">
        <f>E14/1000</f>
        <v/>
      </c>
    </row>
    <row r="9" ht="15" customHeight="1" s="20">
      <c r="A9" s="33" t="inlineStr">
        <is>
          <t>EXP-800</t>
        </is>
      </c>
      <c r="B9" s="28" t="inlineStr">
        <is>
          <t>반응</t>
        </is>
      </c>
      <c r="C9" s="28" t="inlineStr">
        <is>
          <t>가스 조성 - H2 몰분율</t>
        </is>
      </c>
      <c r="D9" s="27" t="inlineStr">
        <is>
          <t>X_H2</t>
        </is>
      </c>
      <c r="E9" s="33" t="n">
        <v>0.666</v>
      </c>
      <c r="F9" s="33" t="inlineStr">
        <is>
          <t>mol/mol</t>
        </is>
      </c>
      <c r="G9" s="28" t="inlineStr">
        <is>
          <t>반응 구간 출구 가스, GC 분석(평균값)</t>
        </is>
      </c>
      <c r="H9" s="28" t="inlineStr">
        <is>
          <t>선택</t>
        </is>
      </c>
      <c r="I9" s="28" t="inlineStr">
        <is>
          <t>기록될 것으로 예상</t>
        </is>
      </c>
      <c r="J9" s="28" t="inlineStr">
        <is>
          <t>메탄 열분해 실험에서 GC 출구 조성 분석은 통상 수행됨</t>
        </is>
      </c>
      <c r="L9" s="36" t="inlineStr">
        <is>
          <t>H2 기록/이론</t>
        </is>
      </c>
      <c r="M9" s="29">
        <f>M8/M7</f>
        <v/>
      </c>
    </row>
    <row r="10" ht="15" customHeight="1" s="20">
      <c r="A10" s="33" t="inlineStr">
        <is>
          <t>EXP-800</t>
        </is>
      </c>
      <c r="B10" s="28" t="inlineStr">
        <is>
          <t>반응</t>
        </is>
      </c>
      <c r="C10" s="28" t="inlineStr">
        <is>
          <t>반응온도</t>
        </is>
      </c>
      <c r="D10" s="27" t="inlineStr">
        <is>
          <t>TEMP</t>
        </is>
      </c>
      <c r="E10" s="33" t="n">
        <v>800</v>
      </c>
      <c r="F10" s="33" t="inlineStr">
        <is>
          <t>℃</t>
        </is>
      </c>
      <c r="G10" s="28" t="inlineStr">
        <is>
          <t>반응 구간 설정(유지) 온도</t>
        </is>
      </c>
      <c r="H10" s="28" t="inlineStr">
        <is>
          <t>필수</t>
        </is>
      </c>
      <c r="I10" s="28" t="inlineStr">
        <is>
          <t>기록될 것으로 예상</t>
        </is>
      </c>
      <c r="J10" s="28" t="inlineStr">
        <is>
          <t>실험조건으로 항상 기록됨. 영수증 식별용(계산에는 미사용)</t>
        </is>
      </c>
      <c r="L10" s="36" t="inlineStr">
        <is>
          <t>C 이론량 (kg) = 반응 메탄 × M_C/M_CH4</t>
        </is>
      </c>
      <c r="M10" s="37">
        <f>M6*INDEX(계산설정!D:D,MATCH("M_C",계산설정!A:A,0))/INDEX(계산설정!D:D,MATCH("M_CH4",계산설정!A:A,0))</f>
        <v/>
      </c>
    </row>
    <row r="11" ht="15" customHeight="1" s="20">
      <c r="A11" s="33" t="inlineStr">
        <is>
          <t>EXP-800</t>
        </is>
      </c>
      <c r="B11" s="28" t="inlineStr">
        <is>
          <t>반응</t>
        </is>
      </c>
      <c r="C11" s="28" t="inlineStr">
        <is>
          <t>운전시간</t>
        </is>
      </c>
      <c r="D11" s="27" t="inlineStr">
        <is>
          <t>OP_TIME</t>
        </is>
      </c>
      <c r="E11" s="33" t="n">
        <v>4</v>
      </c>
      <c r="F11" s="33" t="inlineStr">
        <is>
          <t>h</t>
        </is>
      </c>
      <c r="G11" s="28" t="inlineStr">
        <is>
          <t>메탄 공급 시작 ~ 중단</t>
        </is>
      </c>
      <c r="H11" s="28" t="inlineStr">
        <is>
          <t>필수</t>
        </is>
      </c>
      <c r="I11" s="28" t="inlineStr">
        <is>
          <t>기록될 것으로 예상</t>
        </is>
      </c>
      <c r="J11" s="28" t="inlineStr">
        <is>
          <t>반응시간(TOS)은 실험조건으로 통상 기록됨</t>
        </is>
      </c>
      <c r="L11" s="36" t="inlineStr">
        <is>
          <t>C 기록값 (kg) = 회수 + 축적</t>
        </is>
      </c>
      <c r="M11" s="37">
        <f>(E16+E17)/1000</f>
        <v/>
      </c>
    </row>
    <row r="12" ht="29.85" customHeight="1" s="20">
      <c r="A12" s="33" t="inlineStr">
        <is>
          <t>EXP-800</t>
        </is>
      </c>
      <c r="B12" s="28" t="inlineStr">
        <is>
          <t>반응</t>
        </is>
      </c>
      <c r="C12" s="28" t="inlineStr">
        <is>
          <t>전력 사용량</t>
        </is>
      </c>
      <c r="D12" s="27" t="inlineStr">
        <is>
          <t>ELEC</t>
        </is>
      </c>
      <c r="E12" s="33" t="n">
        <v>5000</v>
      </c>
      <c r="F12" s="33" t="inlineStr">
        <is>
          <t>Wh</t>
        </is>
      </c>
      <c r="G12" s="28" t="inlineStr">
        <is>
          <t>메탄 공급 시작 ~ 중단, 반응로·보조장비 전체</t>
        </is>
      </c>
      <c r="H12" s="28" t="inlineStr">
        <is>
          <t>필수</t>
        </is>
      </c>
      <c r="I12" s="28" t="inlineStr">
        <is>
          <t>추가 측정이 필요할 것으로 예상</t>
        </is>
      </c>
      <c r="J12" s="28" t="inlineStr">
        <is>
          <t>실험실 전기로는 전력량을 기록하지 않는 경우가 많아 전력량계 설치·로그 확인 필요</t>
        </is>
      </c>
      <c r="L12" s="36" t="inlineStr">
        <is>
          <t>C 기록/이론</t>
        </is>
      </c>
      <c r="M12" s="29">
        <f>M11/M10</f>
        <v/>
      </c>
    </row>
    <row r="13" ht="15" customHeight="1" s="20">
      <c r="A13" s="33" t="inlineStr">
        <is>
          <t>EXP-800</t>
        </is>
      </c>
      <c r="B13" s="28" t="inlineStr">
        <is>
          <t>반응</t>
        </is>
      </c>
      <c r="C13" s="28" t="inlineStr">
        <is>
          <t>외부 공급열</t>
        </is>
      </c>
      <c r="D13" s="27" t="inlineStr">
        <is>
          <t>HEAT_EXT</t>
        </is>
      </c>
      <c r="E13" s="33" t="n">
        <v>0</v>
      </c>
      <c r="F13" s="33" t="inlineStr">
        <is>
          <t>MJ</t>
        </is>
      </c>
      <c r="G13" s="28" t="inlineStr">
        <is>
          <t>반응 구간에 전기 외 열원으로 공급한 열</t>
        </is>
      </c>
      <c r="H13" s="28" t="inlineStr">
        <is>
          <t>필수</t>
        </is>
      </c>
      <c r="I13" s="28" t="inlineStr">
        <is>
          <t>확인 전 판단 어려움</t>
        </is>
      </c>
      <c r="J13" s="28" t="inlineStr">
        <is>
          <t>전기 가열만 쓰면 0 입력. 다른 열원 사용 여부는 장비 구성에 따라 다름</t>
        </is>
      </c>
      <c r="L13" s="34" t="inlineStr">
        <is>
          <t>배치 전체 전력 (kWh)</t>
        </is>
      </c>
      <c r="M13" s="38">
        <f>(E3+E12+E22)/1000</f>
        <v/>
      </c>
    </row>
    <row r="14" ht="29.85" customHeight="1" s="20">
      <c r="A14" s="33" t="inlineStr">
        <is>
          <t>EXP-800</t>
        </is>
      </c>
      <c r="B14" s="28" t="inlineStr">
        <is>
          <t>반응</t>
        </is>
      </c>
      <c r="C14" s="28" t="inlineStr">
        <is>
          <t>수소 생산량</t>
        </is>
      </c>
      <c r="D14" s="27" t="inlineStr">
        <is>
          <t>H2_PROD</t>
        </is>
      </c>
      <c r="E14" s="33" t="n">
        <v>250</v>
      </c>
      <c r="F14" s="33" t="inlineStr">
        <is>
          <t>g</t>
        </is>
      </c>
      <c r="G14" s="28" t="inlineStr">
        <is>
          <t>메탄 공급 시작 ~ 중단, 출구 가스 중 H2 질량(유량×H2 몰분율 적산)</t>
        </is>
      </c>
      <c r="H14" s="28" t="inlineStr">
        <is>
          <t>필수</t>
        </is>
      </c>
      <c r="I14" s="28" t="inlineStr">
        <is>
          <t>확인 전 판단 어려움</t>
        </is>
      </c>
      <c r="J14" s="28" t="inlineStr">
        <is>
          <t>논문·노트에는 전환율·수율로 남기는 경우가 많아 질량 환산 가능 여부 확인 필요</t>
        </is>
      </c>
      <c r="L14" s="34" t="inlineStr">
        <is>
          <t>전력 원단위 (kWh/kg-H2), 배치 전체</t>
        </is>
      </c>
      <c r="M14" s="39">
        <f>M13/M8</f>
        <v/>
      </c>
    </row>
    <row r="15" ht="29.85" customHeight="1" s="20">
      <c r="A15" s="33" t="inlineStr">
        <is>
          <t>EXP-800</t>
        </is>
      </c>
      <c r="B15" s="28" t="inlineStr">
        <is>
          <t>반응</t>
        </is>
      </c>
      <c r="C15" s="28" t="inlineStr">
        <is>
          <t>수소 순도</t>
        </is>
      </c>
      <c r="D15" s="27" t="inlineStr">
        <is>
          <t>H2_PURITY</t>
        </is>
      </c>
      <c r="E15" s="33" t="n">
        <v>66.59999999999999</v>
      </c>
      <c r="F15" s="33" t="inlineStr">
        <is>
          <t>mol%</t>
        </is>
      </c>
      <c r="G15" s="28" t="inlineStr">
        <is>
          <t>수소 생산량을 측정한 지점의 H2 몰분율(정제 전)</t>
        </is>
      </c>
      <c r="H15" s="28" t="inlineStr">
        <is>
          <t>선택</t>
        </is>
      </c>
      <c r="I15" s="28" t="inlineStr">
        <is>
          <t>확인 전 판단 어려움</t>
        </is>
      </c>
      <c r="J15" s="27" t="inlineStr">
        <is>
          <t>'순도'를 출구 가스 기준으로 볼지 분리 후 기준으로 볼지 정의 확인 필요. 정제는 경계 밖</t>
        </is>
      </c>
      <c r="L15" s="34" t="inlineStr">
        <is>
          <t>전력 원단위 (kWh/kg-H2), 반응 구간</t>
        </is>
      </c>
      <c r="M15" s="39">
        <f>E12/1000/M8</f>
        <v/>
      </c>
    </row>
    <row r="16" ht="29.85" customHeight="1" s="20">
      <c r="A16" s="33" t="inlineStr">
        <is>
          <t>EXP-800</t>
        </is>
      </c>
      <c r="B16" s="28" t="inlineStr">
        <is>
          <t>반응</t>
        </is>
      </c>
      <c r="C16" s="28" t="inlineStr">
        <is>
          <t>고체탄소 회수량</t>
        </is>
      </c>
      <c r="D16" s="27" t="inlineStr">
        <is>
          <t>C_REC</t>
        </is>
      </c>
      <c r="E16" s="33" t="n">
        <v>720</v>
      </c>
      <c r="F16" s="33" t="inlineStr">
        <is>
          <t>g</t>
        </is>
      </c>
      <c r="G16" s="28" t="inlineStr">
        <is>
          <t>실험 종료 후 회수·칭량한 고체탄소(촉매 질량 제외)</t>
        </is>
      </c>
      <c r="H16" s="28" t="inlineStr">
        <is>
          <t>선택</t>
        </is>
      </c>
      <c r="I16" s="28" t="inlineStr">
        <is>
          <t>확인 전 판단 어려움</t>
        </is>
      </c>
      <c r="J16" s="28" t="inlineStr">
        <is>
          <t>촉매 전후 무게 차로 탄소 수율을 보고하는 경우가 있으나 회수·칭량 방식 확인 필요. 질량 배분·탄소 점검용</t>
        </is>
      </c>
      <c r="L16" s="34" t="inlineStr">
        <is>
          <t>촉매 1회 배분량 (kg)</t>
        </is>
      </c>
      <c r="M16" s="37">
        <f>E19/1000/E20</f>
        <v/>
      </c>
    </row>
    <row r="17" ht="29.85" customHeight="1" s="20">
      <c r="A17" s="33" t="inlineStr">
        <is>
          <t>EXP-800</t>
        </is>
      </c>
      <c r="B17" s="28" t="inlineStr">
        <is>
          <t>반응</t>
        </is>
      </c>
      <c r="C17" s="28" t="inlineStr">
        <is>
          <t>반응기 내 탄소 축적량</t>
        </is>
      </c>
      <c r="D17" s="27" t="inlineStr">
        <is>
          <t>C_ACC</t>
        </is>
      </c>
      <c r="E17" s="33" t="n">
        <v>20</v>
      </c>
      <c r="F17" s="33" t="inlineStr">
        <is>
          <t>g</t>
        </is>
      </c>
      <c r="G17" s="28" t="inlineStr">
        <is>
          <t>회수하지 못하고 반응기 벽·배관에 남은 탄소</t>
        </is>
      </c>
      <c r="H17" s="28" t="inlineStr">
        <is>
          <t>선택</t>
        </is>
      </c>
      <c r="I17" s="28" t="inlineStr">
        <is>
          <t>추가 측정이 필요할 것으로 예상</t>
        </is>
      </c>
      <c r="J17" s="28" t="inlineStr">
        <is>
          <t>통상 별도로 측정하지 않음. 탄소수지 점검 정확도를 높일 때 추가 측정</t>
        </is>
      </c>
      <c r="L17" s="34" t="inlineStr">
        <is>
          <t>신규 메탄 = 반응 메탄 여부</t>
        </is>
      </c>
      <c r="M17" s="40">
        <f>IF(ABS(E5-M6)&lt;0.000000001,"일치(재순환 가정과 정합)","불일치")</f>
        <v/>
      </c>
    </row>
    <row r="18" ht="15" customHeight="1" s="20">
      <c r="A18" s="33" t="inlineStr">
        <is>
          <t>EXP-800</t>
        </is>
      </c>
      <c r="B18" s="28" t="inlineStr">
        <is>
          <t>반응</t>
        </is>
      </c>
      <c r="C18" s="28" t="inlineStr">
        <is>
          <t>촉매 종류</t>
        </is>
      </c>
      <c r="D18" s="27" t="inlineStr">
        <is>
          <t>CAT_TYPE</t>
        </is>
      </c>
      <c r="E18" s="33" t="inlineStr">
        <is>
          <t>Fe</t>
        </is>
      </c>
      <c r="F18" s="33" t="inlineStr">
        <is>
          <t>-</t>
        </is>
      </c>
      <c r="G18" s="28" t="inlineStr">
        <is>
          <t>이번 실험에 사용한 촉매(배출계수 선택에 사용)</t>
        </is>
      </c>
      <c r="H18" s="28" t="inlineStr">
        <is>
          <t>필수</t>
        </is>
      </c>
      <c r="I18" s="28" t="inlineStr">
        <is>
          <t>기록될 것으로 예상</t>
        </is>
      </c>
      <c r="J18" s="28" t="inlineStr">
        <is>
          <t>실험조건으로 항상 기록됨</t>
        </is>
      </c>
      <c r="L18" s="34" t="inlineStr">
        <is>
          <t>출구 몰분율 합(CH4+H2)</t>
        </is>
      </c>
      <c r="M18" s="35">
        <f>E8+E9</f>
        <v/>
      </c>
    </row>
    <row r="19" ht="15" customHeight="1" s="20">
      <c r="A19" s="33" t="inlineStr">
        <is>
          <t>EXP-800</t>
        </is>
      </c>
      <c r="B19" s="28" t="inlineStr">
        <is>
          <t>반응</t>
        </is>
      </c>
      <c r="C19" s="28" t="inlineStr">
        <is>
          <t>촉매 사용량</t>
        </is>
      </c>
      <c r="D19" s="27" t="inlineStr">
        <is>
          <t>CAT_MASS</t>
        </is>
      </c>
      <c r="E19" s="33" t="n">
        <v>20</v>
      </c>
      <c r="F19" s="33" t="inlineStr">
        <is>
          <t>g</t>
        </is>
      </c>
      <c r="G19" s="28" t="inlineStr">
        <is>
          <t>반응기에 충전한 촉매 질량(최초 투입 기준)</t>
        </is>
      </c>
      <c r="H19" s="28" t="inlineStr">
        <is>
          <t>필수</t>
        </is>
      </c>
      <c r="I19" s="28" t="inlineStr">
        <is>
          <t>기록될 것으로 예상</t>
        </is>
      </c>
      <c r="J19" s="28" t="inlineStr">
        <is>
          <t>실험조건으로 통상 기록됨</t>
        </is>
      </c>
    </row>
    <row r="20" ht="29.85" customHeight="1" s="20">
      <c r="A20" s="33" t="inlineStr">
        <is>
          <t>EXP-800</t>
        </is>
      </c>
      <c r="B20" s="28" t="inlineStr">
        <is>
          <t>반응</t>
        </is>
      </c>
      <c r="C20" s="28" t="inlineStr">
        <is>
          <t>촉매 최초 사용 포함 총 사용 횟수</t>
        </is>
      </c>
      <c r="D20" s="27" t="inlineStr">
        <is>
          <t>CAT_USES</t>
        </is>
      </c>
      <c r="E20" s="33" t="n">
        <v>4</v>
      </c>
      <c r="F20" s="41" t="inlineStr">
        <is>
          <t>회</t>
        </is>
      </c>
      <c r="G20" s="28" t="inlineStr">
        <is>
          <t>같은 촉매 충전분으로 수행한(할) 실험 횟수. 최초 사용을 1회로 셈(예: 최초 1회 + 재사용 3회 = 4)</t>
        </is>
      </c>
      <c r="H20" s="28" t="inlineStr">
        <is>
          <t>필수</t>
        </is>
      </c>
      <c r="I20" s="28" t="inlineStr">
        <is>
          <t>확인 전 판단 어려움</t>
        </is>
      </c>
      <c r="J20" s="28" t="inlineStr">
        <is>
          <t>재생·재사용 여부와 횟수를 실험별로 남기는지 확인 필요. 1이면 이번 실험에 전량 배분</t>
        </is>
      </c>
    </row>
    <row r="21" ht="15" customHeight="1" s="20">
      <c r="A21" s="33" t="inlineStr">
        <is>
          <t>EXP-800</t>
        </is>
      </c>
      <c r="B21" s="28" t="inlineStr">
        <is>
          <t>중단</t>
        </is>
      </c>
      <c r="C21" s="28" t="inlineStr">
        <is>
          <t>운전시간</t>
        </is>
      </c>
      <c r="D21" s="27" t="inlineStr">
        <is>
          <t>OP_TIME</t>
        </is>
      </c>
      <c r="E21" s="33" t="n">
        <v>1</v>
      </c>
      <c r="F21" s="33" t="inlineStr">
        <is>
          <t>h</t>
        </is>
      </c>
      <c r="G21" s="28" t="inlineStr">
        <is>
          <t>메탄 공급 중단 ~ 전원 차단(냉각·퍼지 포함)</t>
        </is>
      </c>
      <c r="H21" s="28" t="inlineStr">
        <is>
          <t>선택</t>
        </is>
      </c>
      <c r="I21" s="28" t="inlineStr">
        <is>
          <t>확인 전 판단 어려움</t>
        </is>
      </c>
      <c r="J21" s="28" t="inlineStr">
        <is>
          <t>냉각·퍼지 시간을 구간별로 남기는지 확인 필요</t>
        </is>
      </c>
    </row>
    <row r="22" ht="29.85" customHeight="1" s="20">
      <c r="A22" s="33" t="inlineStr">
        <is>
          <t>EXP-800</t>
        </is>
      </c>
      <c r="B22" s="28" t="inlineStr">
        <is>
          <t>중단</t>
        </is>
      </c>
      <c r="C22" s="28" t="inlineStr">
        <is>
          <t>전력 사용량</t>
        </is>
      </c>
      <c r="D22" s="27" t="inlineStr">
        <is>
          <t>ELEC</t>
        </is>
      </c>
      <c r="E22" s="33" t="n">
        <v>300</v>
      </c>
      <c r="F22" s="33" t="inlineStr">
        <is>
          <t>Wh</t>
        </is>
      </c>
      <c r="G22" s="28" t="inlineStr">
        <is>
          <t>메탄 공급 중단 ~ 전원 차단, 반응로·보조장비 전체</t>
        </is>
      </c>
      <c r="H22" s="28" t="inlineStr">
        <is>
          <t>필수</t>
        </is>
      </c>
      <c r="I22" s="28" t="inlineStr">
        <is>
          <t>추가 측정이 필요할 것으로 예상</t>
        </is>
      </c>
      <c r="J22" s="28" t="inlineStr">
        <is>
          <t>실험실 전기로는 전력량을 기록하지 않는 경우가 많아 전력량계 설치·로그 확인 필요</t>
        </is>
      </c>
    </row>
    <row r="23" ht="15" customHeight="1" s="20">
      <c r="A23" s="33" t="inlineStr">
        <is>
          <t>EXP-800</t>
        </is>
      </c>
      <c r="B23" s="28" t="inlineStr">
        <is>
          <t>중단</t>
        </is>
      </c>
      <c r="C23" s="28" t="inlineStr">
        <is>
          <t>외부 공급열</t>
        </is>
      </c>
      <c r="D23" s="27" t="inlineStr">
        <is>
          <t>HEAT_EXT</t>
        </is>
      </c>
      <c r="E23" s="33" t="n">
        <v>0</v>
      </c>
      <c r="F23" s="33" t="inlineStr">
        <is>
          <t>MJ</t>
        </is>
      </c>
      <c r="G23" s="28" t="inlineStr">
        <is>
          <t>중단 구간에 전기 외 열원으로 공급한 열</t>
        </is>
      </c>
      <c r="H23" s="28" t="inlineStr">
        <is>
          <t>필수</t>
        </is>
      </c>
      <c r="I23" s="28" t="inlineStr">
        <is>
          <t>확인 전 판단 어려움</t>
        </is>
      </c>
      <c r="J23" s="28" t="inlineStr">
        <is>
          <t>전기 가열만 쓰면 0 입력. 다른 열원 사용 여부는 장비 구성에 따라 다름</t>
        </is>
      </c>
    </row>
  </sheetData>
  <dataValidations count="3">
    <dataValidation sqref="B2:B43" showDropDown="0" showInputMessage="0" showErrorMessage="0" allowBlank="1" type="list" errorStyle="stop" operator="between">
      <formula1>"승온,반응,중단"</formula1>
      <formula2>0</formula2>
    </dataValidation>
    <dataValidation sqref="H2:H43" showDropDown="0" showInputMessage="0" showErrorMessage="0" allowBlank="1" type="list" errorStyle="stop" operator="between">
      <formula1>"필수,선택"</formula1>
      <formula2>0</formula2>
    </dataValidation>
    <dataValidation sqref="I2:I43" showDropDown="0" showInputMessage="0" showErrorMessage="0" allowBlank="1" type="list" errorStyle="stop" operator="between">
      <formula1>"기록될 것으로 예상,추가 측정이 필요할 것으로 예상,확인 전 판단 어려움"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2026-10-09T10:36:30Z</dcterms:created>
  <dcterms:modified xmlns:dcterms="http://purl.org/dc/terms/" xmlns:xsi="http://www.w3.org/2001/XMLSchema-instance" xsi:type="dcterms:W3CDTF">2026-10-09T11:05:46Z</dcterms:modified>
  <cp:revision>0</cp:revision>
</cp:coreProperties>
</file>