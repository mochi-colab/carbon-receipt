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작업계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<sst xmlns="http://schemas.openxmlformats.org/spreadsheetml/2006/main" count="88" uniqueCount="59">
  <si>
    <r>
      <rPr>
        <b val="true"/>
        <sz val="12"/>
        <rFont val="Noto Sans CJK SC"/>
        <family val="2"/>
      </rPr>
      <t xml:space="preserve">수작업 기준 계산 — 사례 ①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가상 실험 </t>
    </r>
    <r>
      <rPr>
        <b val="true"/>
        <sz val="12"/>
        <rFont val="Arial"/>
        <family val="0"/>
        <charset val="1"/>
      </rPr>
      <t xml:space="preserve">EXP-800, </t>
    </r>
    <r>
      <rPr>
        <b val="true"/>
        <sz val="12"/>
        <rFont val="Noto Sans CJK SC"/>
        <family val="2"/>
      </rPr>
      <t xml:space="preserve">예시 배출계수</t>
    </r>
    <r>
      <rPr>
        <b val="true"/>
        <sz val="12"/>
        <rFont val="Arial"/>
        <family val="0"/>
        <charset val="1"/>
      </rPr>
      <t xml:space="preserve">)</t>
    </r>
  </si>
  <si>
    <r>
      <rPr>
        <sz val="10"/>
        <color rgb="FFC00000"/>
        <rFont val="Noto Sans CJK SC"/>
        <family val="2"/>
      </rPr>
      <t xml:space="preserve">파란 글씨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Noto Sans CJK SC"/>
        <family val="2"/>
      </rPr>
      <t xml:space="preserve">작성예시에서 손으로 옮긴 입력값 </t>
    </r>
    <r>
      <rPr>
        <sz val="10"/>
        <color rgb="FFC00000"/>
        <rFont val="Arial"/>
        <family val="0"/>
        <charset val="1"/>
      </rPr>
      <t xml:space="preserve">· </t>
    </r>
    <r>
      <rPr>
        <sz val="10"/>
        <color rgb="FFC00000"/>
        <rFont val="Noto Sans CJK SC"/>
        <family val="2"/>
      </rPr>
      <t xml:space="preserve">검은 글씨 </t>
    </r>
    <r>
      <rPr>
        <sz val="10"/>
        <color rgb="FFC00000"/>
        <rFont val="Arial"/>
        <family val="0"/>
        <charset val="1"/>
      </rPr>
      <t xml:space="preserve">= Excel </t>
    </r>
    <r>
      <rPr>
        <sz val="10"/>
        <color rgb="FFC00000"/>
        <rFont val="Noto Sans CJK SC"/>
        <family val="2"/>
      </rPr>
      <t xml:space="preserve">수식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Noto Sans CJK SC"/>
        <family val="2"/>
      </rPr>
      <t xml:space="preserve">가상 데이터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Noto Sans CJK SC"/>
        <family val="2"/>
      </rPr>
      <t xml:space="preserve">예시 배출계수 기반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</si>
  <si>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입력값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작성예시 전사</t>
    </r>
    <r>
      <rPr>
        <sz val="10"/>
        <rFont val="Arial"/>
        <family val="0"/>
        <charset val="1"/>
      </rPr>
      <t xml:space="preserve">)</t>
    </r>
  </si>
  <si>
    <t xml:space="preserve">항목</t>
  </si>
  <si>
    <t xml:space="preserve">입력값</t>
  </si>
  <si>
    <t xml:space="preserve">입력단위</t>
  </si>
  <si>
    <t xml:space="preserve">환산계수</t>
  </si>
  <si>
    <t xml:space="preserve">표준단위 값</t>
  </si>
  <si>
    <t xml:space="preserve">표준단위</t>
  </si>
  <si>
    <t xml:space="preserve">승온 구간 전력 사용량</t>
  </si>
  <si>
    <t xml:space="preserve">Wh</t>
  </si>
  <si>
    <t xml:space="preserve">kWh</t>
  </si>
  <si>
    <t xml:space="preserve">반응 구간 전력 사용량</t>
  </si>
  <si>
    <t xml:space="preserve">중단 구간 전력 사용량</t>
  </si>
  <si>
    <t xml:space="preserve">승온 구간 외부 공급열</t>
  </si>
  <si>
    <t xml:space="preserve">MJ</t>
  </si>
  <si>
    <t xml:space="preserve">반응 구간 외부 공급열</t>
  </si>
  <si>
    <t xml:space="preserve">중단 구간 외부 공급열</t>
  </si>
  <si>
    <t xml:space="preserve">메탄 신규 공급량</t>
  </si>
  <si>
    <t xml:space="preserve">kg</t>
  </si>
  <si>
    <t xml:space="preserve">수소 생산량</t>
  </si>
  <si>
    <t xml:space="preserve">g</t>
  </si>
  <si>
    <t xml:space="preserve">고체탄소 회수량</t>
  </si>
  <si>
    <t xml:space="preserve">촉매 사용량</t>
  </si>
  <si>
    <t xml:space="preserve">촉매 최초 사용 포함 총 사용 횟수</t>
  </si>
  <si>
    <t xml:space="preserve">회</t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</si>
  <si>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배출계수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시연용 예시값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공식 계수 아님</t>
    </r>
    <r>
      <rPr>
        <sz val="10"/>
        <rFont val="Arial"/>
        <family val="0"/>
        <charset val="1"/>
      </rPr>
      <t xml:space="preserve">)</t>
    </r>
  </si>
  <si>
    <t xml:space="preserve">대상</t>
  </si>
  <si>
    <t xml:space="preserve">값</t>
  </si>
  <si>
    <t xml:space="preserve">단위</t>
  </si>
  <si>
    <r>
      <rPr>
        <sz val="11"/>
        <color theme="1"/>
        <rFont val="Noto Sans CJK SC"/>
        <family val="2"/>
      </rPr>
      <t xml:space="preserve">전력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계통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Noto Sans CJK SC"/>
        <family val="2"/>
      </rPr>
      <t xml:space="preserve">예시값</t>
    </r>
  </si>
  <si>
    <t xml:space="preserve">kgCO2-eq/kWh</t>
  </si>
  <si>
    <t xml:space="preserve">외부 공급열 — 예시값</t>
  </si>
  <si>
    <t xml:space="preserve">kgCO2-eq/MJ</t>
  </si>
  <si>
    <r>
      <rPr>
        <sz val="11"/>
        <color theme="1"/>
        <rFont val="Noto Sans CJK SC"/>
        <family val="2"/>
      </rPr>
      <t xml:space="preserve">메탄 생산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공급 — 예시값</t>
    </r>
  </si>
  <si>
    <t xml:space="preserve">kgCO2-eq/kg-CH4</t>
  </si>
  <si>
    <r>
      <rPr>
        <sz val="11"/>
        <color theme="1"/>
        <rFont val="Noto Sans CJK SC"/>
        <family val="2"/>
      </rPr>
      <t xml:space="preserve">촉매</t>
    </r>
    <r>
      <rPr>
        <sz val="11"/>
        <color theme="1"/>
        <rFont val="Calibri"/>
        <family val="2"/>
        <charset val="1"/>
      </rPr>
      <t xml:space="preserve">(Fe) — </t>
    </r>
    <r>
      <rPr>
        <sz val="11"/>
        <color theme="1"/>
        <rFont val="Noto Sans CJK SC"/>
        <family val="2"/>
      </rPr>
      <t xml:space="preserve">예시값</t>
    </r>
  </si>
  <si>
    <r>
      <rPr>
        <sz val="11"/>
        <color theme="1"/>
        <rFont val="Calibri"/>
        <family val="2"/>
        <charset val="1"/>
      </rPr>
      <t xml:space="preserve">kgCO2-eq/kg-</t>
    </r>
    <r>
      <rPr>
        <sz val="11"/>
        <color theme="1"/>
        <rFont val="Noto Sans CJK SC"/>
        <family val="2"/>
      </rPr>
      <t xml:space="preserve">촉매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</si>
  <si>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계산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)</t>
    </r>
  </si>
  <si>
    <t xml:space="preserve">수작업 계산값</t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</si>
  <si>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단계 검산값</t>
    </r>
  </si>
  <si>
    <t xml:space="preserve">전력 합계 — 배치 전체</t>
  </si>
  <si>
    <t xml:space="preserve">전력 합계 — 반응 구간</t>
  </si>
  <si>
    <t xml:space="preserve">외부 공급열 합계 — 배치 전체</t>
  </si>
  <si>
    <t xml:space="preserve">외부 공급열 합계 — 반응 구간</t>
  </si>
  <si>
    <r>
      <rPr>
        <sz val="11"/>
        <color theme="1"/>
        <rFont val="Noto Sans CJK SC"/>
        <family val="2"/>
      </rPr>
      <t xml:space="preserve">촉매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 배분량</t>
    </r>
  </si>
  <si>
    <t xml:space="preserve">전력 원단위 — 배치 전체</t>
  </si>
  <si>
    <t xml:space="preserve">kWh/kg-H2</t>
  </si>
  <si>
    <r>
      <rPr>
        <sz val="11"/>
        <color theme="1"/>
        <rFont val="Noto Sans CJK SC"/>
        <family val="2"/>
      </rPr>
      <t xml:space="preserve">전력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계통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배출 — 배치 전체</t>
    </r>
  </si>
  <si>
    <t xml:space="preserve">kgCO2-eq/kg-H2</t>
  </si>
  <si>
    <t xml:space="preserve">외부 공급열 배출 — 배치 전체</t>
  </si>
  <si>
    <r>
      <rPr>
        <sz val="11"/>
        <color theme="1"/>
        <rFont val="Noto Sans CJK SC"/>
        <family val="2"/>
      </rPr>
      <t xml:space="preserve">원료 메탄 생산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공급 배출</t>
    </r>
  </si>
  <si>
    <r>
      <rPr>
        <sz val="11"/>
        <color theme="1"/>
        <rFont val="Noto Sans CJK SC"/>
        <family val="2"/>
      </rPr>
      <t xml:space="preserve">촉매</t>
    </r>
    <r>
      <rPr>
        <sz val="11"/>
        <color theme="1"/>
        <rFont val="Calibri"/>
        <family val="2"/>
        <charset val="1"/>
      </rPr>
      <t xml:space="preserve">(Fe) </t>
    </r>
    <r>
      <rPr>
        <sz val="11"/>
        <color theme="1"/>
        <rFont val="Noto Sans CJK SC"/>
        <family val="2"/>
      </rPr>
      <t xml:space="preserve">배출</t>
    </r>
  </si>
  <si>
    <r>
      <rPr>
        <sz val="11"/>
        <color theme="1"/>
        <rFont val="Noto Sans CJK SC"/>
        <family val="2"/>
      </rPr>
      <t xml:space="preserve">합계 — 배치 전체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부산물 공제 없음</t>
    </r>
  </si>
  <si>
    <r>
      <rPr>
        <sz val="11"/>
        <color theme="1"/>
        <rFont val="Noto Sans CJK SC"/>
        <family val="2"/>
      </rPr>
      <t xml:space="preserve">합계 — 반응 구간만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부산물 공제 없음</t>
    </r>
  </si>
  <si>
    <t xml:space="preserve">수소 질량 배분율</t>
  </si>
  <si>
    <t xml:space="preserve">-</t>
  </si>
  <si>
    <r>
      <rPr>
        <sz val="11"/>
        <color theme="1"/>
        <rFont val="Noto Sans CJK SC"/>
        <family val="2"/>
      </rPr>
      <t xml:space="preserve">배치 전체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질량 배분</t>
    </r>
  </si>
  <si>
    <r>
      <rPr>
        <sz val="10"/>
        <color rgb="FF777777"/>
        <rFont val="Noto Sans CJK SC"/>
        <family val="2"/>
      </rPr>
      <t xml:space="preserve">주</t>
    </r>
    <r>
      <rPr>
        <sz val="10"/>
        <color rgb="FF777777"/>
        <rFont val="Arial"/>
        <family val="0"/>
        <charset val="1"/>
      </rPr>
      <t xml:space="preserve">: 'A </t>
    </r>
    <r>
      <rPr>
        <sz val="10"/>
        <color rgb="FF777777"/>
        <rFont val="Noto Sans CJK SC"/>
        <family val="2"/>
      </rPr>
      <t xml:space="preserve">단계 검산값</t>
    </r>
    <r>
      <rPr>
        <sz val="10"/>
        <color rgb="FF777777"/>
        <rFont val="Arial"/>
        <family val="0"/>
        <charset val="1"/>
      </rPr>
      <t xml:space="preserve">'</t>
    </r>
    <r>
      <rPr>
        <sz val="10"/>
        <color rgb="FF777777"/>
        <rFont val="Noto Sans CJK SC"/>
        <family val="2"/>
      </rPr>
      <t xml:space="preserve">은 입력양식 작성예시의 검산 결과</t>
    </r>
    <r>
      <rPr>
        <sz val="10"/>
        <color rgb="FF777777"/>
        <rFont val="Arial"/>
        <family val="0"/>
        <charset val="1"/>
      </rPr>
      <t xml:space="preserve">(</t>
    </r>
    <r>
      <rPr>
        <sz val="10"/>
        <color rgb="FF777777"/>
        <rFont val="Noto Sans CJK SC"/>
        <family val="2"/>
      </rPr>
      <t xml:space="preserve">반올림 표기</t>
    </r>
    <r>
      <rPr>
        <sz val="10"/>
        <color rgb="FF777777"/>
        <rFont val="Arial"/>
        <family val="0"/>
        <charset val="1"/>
      </rPr>
      <t xml:space="preserve">)</t>
    </r>
    <r>
      <rPr>
        <sz val="10"/>
        <color rgb="FF777777"/>
        <rFont val="Noto Sans CJK SC"/>
        <family val="2"/>
      </rPr>
      <t xml:space="preserve">이며</t>
    </r>
    <r>
      <rPr>
        <sz val="10"/>
        <color rgb="FF777777"/>
        <rFont val="Arial"/>
        <family val="0"/>
        <charset val="1"/>
      </rPr>
      <t xml:space="preserve">, </t>
    </r>
    <r>
      <rPr>
        <sz val="10"/>
        <color rgb="FF777777"/>
        <rFont val="Noto Sans CJK SC"/>
        <family val="2"/>
      </rPr>
      <t xml:space="preserve">비교는 수작업 계산값 기준으로 한다</t>
    </r>
    <r>
      <rPr>
        <sz val="10"/>
        <color rgb="FF777777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</si>
</sst>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color rgb="FFC00000"/>
      <name val="Noto Sans CJK SC"/>
      <family val="2"/>
    </font>
    <font>
      <sz val="10"/>
      <color rgb="FFC0000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sz val="11"/>
      <color theme="1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77777"/>
      <name val="Noto Sans CJK SC"/>
      <family val="2"/>
    </font>
    <font>
      <sz val="10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/>
    </row>
    <row r="6" customFormat="false" ht="15" hidden="false" customHeight="false" outlineLevel="0" collapsed="false">
      <c r="A6" s="6" t="s">
        <v>9</v>
      </c>
      <c r="B6" s="7" t="n">
        <v>1200</v>
      </c>
      <c r="C6" s="8" t="s">
        <v>10</v>
      </c>
      <c r="D6" s="7" t="n">
        <v>0.001</v>
      </c>
      <c r="E6" s="8" t="n">
        <f aca="false">B6*D6</f>
        <v>1.2</v>
      </c>
      <c r="F6" s="8" t="s">
        <v>11</v>
      </c>
    </row>
    <row r="7" customFormat="false" ht="15" hidden="false" customHeight="false" outlineLevel="0" collapsed="false">
      <c r="A7" s="6" t="s">
        <v>12</v>
      </c>
      <c r="B7" s="7" t="n">
        <v>5000</v>
      </c>
      <c r="C7" s="8" t="s">
        <v>10</v>
      </c>
      <c r="D7" s="7" t="n">
        <v>0.001</v>
      </c>
      <c r="E7" s="8" t="n">
        <f aca="false">B7*D7</f>
        <v>5</v>
      </c>
      <c r="F7" s="8" t="s">
        <v>11</v>
      </c>
    </row>
    <row r="8" customFormat="false" ht="15" hidden="false" customHeight="false" outlineLevel="0" collapsed="false">
      <c r="A8" s="6" t="s">
        <v>13</v>
      </c>
      <c r="B8" s="7" t="n">
        <v>300</v>
      </c>
      <c r="C8" s="8" t="s">
        <v>10</v>
      </c>
      <c r="D8" s="7" t="n">
        <v>0.001</v>
      </c>
      <c r="E8" s="8" t="n">
        <f aca="false">B8*D8</f>
        <v>0.3</v>
      </c>
      <c r="F8" s="8" t="s">
        <v>11</v>
      </c>
    </row>
    <row r="9" customFormat="false" ht="15" hidden="false" customHeight="false" outlineLevel="0" collapsed="false">
      <c r="A9" s="6" t="s">
        <v>14</v>
      </c>
      <c r="B9" s="7" t="n">
        <v>0</v>
      </c>
      <c r="C9" s="8" t="s">
        <v>15</v>
      </c>
      <c r="D9" s="7" t="n">
        <v>1</v>
      </c>
      <c r="E9" s="8" t="n">
        <f aca="false">B9*D9</f>
        <v>0</v>
      </c>
      <c r="F9" s="8" t="s">
        <v>15</v>
      </c>
    </row>
    <row r="10" customFormat="false" ht="15" hidden="false" customHeight="false" outlineLevel="0" collapsed="false">
      <c r="A10" s="6" t="s">
        <v>16</v>
      </c>
      <c r="B10" s="7" t="n">
        <v>0</v>
      </c>
      <c r="C10" s="8" t="s">
        <v>15</v>
      </c>
      <c r="D10" s="7" t="n">
        <v>1</v>
      </c>
      <c r="E10" s="8" t="n">
        <f aca="false">B10*D10</f>
        <v>0</v>
      </c>
      <c r="F10" s="8" t="s">
        <v>15</v>
      </c>
    </row>
    <row r="11" customFormat="false" ht="15" hidden="false" customHeight="false" outlineLevel="0" collapsed="false">
      <c r="A11" s="6" t="s">
        <v>17</v>
      </c>
      <c r="B11" s="7" t="n">
        <v>0</v>
      </c>
      <c r="C11" s="8" t="s">
        <v>15</v>
      </c>
      <c r="D11" s="7" t="n">
        <v>1</v>
      </c>
      <c r="E11" s="8" t="n">
        <f aca="false">B11*D11</f>
        <v>0</v>
      </c>
      <c r="F11" s="8" t="s">
        <v>15</v>
      </c>
    </row>
    <row r="12" customFormat="false" ht="15" hidden="false" customHeight="false" outlineLevel="0" collapsed="false">
      <c r="A12" s="6" t="s">
        <v>18</v>
      </c>
      <c r="B12" s="7" t="n">
        <v>1</v>
      </c>
      <c r="C12" s="8" t="s">
        <v>19</v>
      </c>
      <c r="D12" s="7" t="n">
        <v>1</v>
      </c>
      <c r="E12" s="8" t="n">
        <f aca="false">B12*D12</f>
        <v>1</v>
      </c>
      <c r="F12" s="8" t="s">
        <v>19</v>
      </c>
    </row>
    <row r="13" customFormat="false" ht="15" hidden="false" customHeight="false" outlineLevel="0" collapsed="false">
      <c r="A13" s="6" t="s">
        <v>20</v>
      </c>
      <c r="B13" s="7" t="n">
        <v>250</v>
      </c>
      <c r="C13" s="8" t="s">
        <v>21</v>
      </c>
      <c r="D13" s="7" t="n">
        <v>0.001</v>
      </c>
      <c r="E13" s="8" t="n">
        <f aca="false">B13*D13</f>
        <v>0.25</v>
      </c>
      <c r="F13" s="8" t="s">
        <v>19</v>
      </c>
    </row>
    <row r="14" customFormat="false" ht="15" hidden="false" customHeight="false" outlineLevel="0" collapsed="false">
      <c r="A14" s="6" t="s">
        <v>22</v>
      </c>
      <c r="B14" s="7" t="n">
        <v>720</v>
      </c>
      <c r="C14" s="8" t="s">
        <v>21</v>
      </c>
      <c r="D14" s="7" t="n">
        <v>0.001</v>
      </c>
      <c r="E14" s="8" t="n">
        <f aca="false">B14*D14</f>
        <v>0.72</v>
      </c>
      <c r="F14" s="8" t="s">
        <v>19</v>
      </c>
    </row>
    <row r="15" customFormat="false" ht="15" hidden="false" customHeight="false" outlineLevel="0" collapsed="false">
      <c r="A15" s="6" t="s">
        <v>23</v>
      </c>
      <c r="B15" s="7" t="n">
        <v>20</v>
      </c>
      <c r="C15" s="8" t="s">
        <v>21</v>
      </c>
      <c r="D15" s="7" t="n">
        <v>0.001</v>
      </c>
      <c r="E15" s="8" t="n">
        <f aca="false">B15*D15</f>
        <v>0.02</v>
      </c>
      <c r="F15" s="8" t="s">
        <v>19</v>
      </c>
    </row>
    <row r="16" customFormat="false" ht="15" hidden="false" customHeight="false" outlineLevel="0" collapsed="false">
      <c r="A16" s="6" t="s">
        <v>24</v>
      </c>
      <c r="B16" s="7" t="n">
        <v>4</v>
      </c>
      <c r="C16" s="6" t="s">
        <v>25</v>
      </c>
      <c r="D16" s="7" t="n">
        <v>1</v>
      </c>
      <c r="E16" s="8" t="n">
        <f aca="false">B16*D16</f>
        <v>4</v>
      </c>
      <c r="F16" s="6" t="s">
        <v>25</v>
      </c>
    </row>
    <row r="18" customFormat="false" ht="15" hidden="false" customHeight="false" outlineLevel="0" collapsed="false">
      <c r="A18" s="3" t="s">
        <v>26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5" t="s">
        <v>27</v>
      </c>
      <c r="B19" s="5" t="s">
        <v>28</v>
      </c>
      <c r="C19" s="5" t="s">
        <v>29</v>
      </c>
      <c r="D19" s="5"/>
      <c r="E19" s="5"/>
      <c r="F19" s="5"/>
      <c r="G19" s="5"/>
    </row>
    <row r="20" customFormat="false" ht="17.15" hidden="false" customHeight="false" outlineLevel="0" collapsed="false">
      <c r="A20" s="6" t="s">
        <v>30</v>
      </c>
      <c r="B20" s="7" t="n">
        <v>0.45</v>
      </c>
      <c r="C20" s="8" t="s">
        <v>31</v>
      </c>
    </row>
    <row r="21" customFormat="false" ht="15" hidden="false" customHeight="false" outlineLevel="0" collapsed="false">
      <c r="A21" s="6" t="s">
        <v>32</v>
      </c>
      <c r="B21" s="7" t="n">
        <v>0.07</v>
      </c>
      <c r="C21" s="8" t="s">
        <v>33</v>
      </c>
    </row>
    <row r="22" customFormat="false" ht="17.15" hidden="false" customHeight="false" outlineLevel="0" collapsed="false">
      <c r="A22" s="6" t="s">
        <v>34</v>
      </c>
      <c r="B22" s="7" t="n">
        <v>0.6</v>
      </c>
      <c r="C22" s="8" t="s">
        <v>35</v>
      </c>
    </row>
    <row r="23" customFormat="false" ht="17.15" hidden="false" customHeight="false" outlineLevel="0" collapsed="false">
      <c r="A23" s="6" t="s">
        <v>36</v>
      </c>
      <c r="B23" s="7" t="n">
        <v>2</v>
      </c>
      <c r="C23" s="8" t="s">
        <v>37</v>
      </c>
    </row>
    <row r="25" customFormat="false" ht="15" hidden="false" customHeight="false" outlineLevel="0" collapsed="false">
      <c r="A25" s="3" t="s">
        <v>38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5" t="s">
        <v>3</v>
      </c>
      <c r="B26" s="5"/>
      <c r="C26" s="5"/>
      <c r="D26" s="5"/>
      <c r="E26" s="5" t="s">
        <v>39</v>
      </c>
      <c r="F26" s="5" t="s">
        <v>29</v>
      </c>
      <c r="G26" s="9" t="s">
        <v>40</v>
      </c>
    </row>
    <row r="27" customFormat="false" ht="15" hidden="false" customHeight="false" outlineLevel="0" collapsed="false">
      <c r="A27" s="6" t="s">
        <v>41</v>
      </c>
      <c r="E27" s="10" t="n">
        <f aca="false">$E$6+$E$7+$E$8</f>
        <v>6.5</v>
      </c>
      <c r="F27" s="8" t="s">
        <v>11</v>
      </c>
    </row>
    <row r="28" customFormat="false" ht="15" hidden="false" customHeight="false" outlineLevel="0" collapsed="false">
      <c r="A28" s="6" t="s">
        <v>42</v>
      </c>
      <c r="E28" s="10" t="n">
        <f aca="false">$E$7</f>
        <v>5</v>
      </c>
      <c r="F28" s="8" t="s">
        <v>11</v>
      </c>
    </row>
    <row r="29" customFormat="false" ht="15" hidden="false" customHeight="false" outlineLevel="0" collapsed="false">
      <c r="A29" s="6" t="s">
        <v>43</v>
      </c>
      <c r="E29" s="10" t="n">
        <f aca="false">$E$9+$E$10+$E$11</f>
        <v>0</v>
      </c>
      <c r="F29" s="8" t="s">
        <v>15</v>
      </c>
    </row>
    <row r="30" customFormat="false" ht="15" hidden="false" customHeight="false" outlineLevel="0" collapsed="false">
      <c r="A30" s="6" t="s">
        <v>44</v>
      </c>
      <c r="E30" s="10" t="n">
        <f aca="false">$E$10</f>
        <v>0</v>
      </c>
      <c r="F30" s="8" t="s">
        <v>15</v>
      </c>
    </row>
    <row r="31" customFormat="false" ht="17.15" hidden="false" customHeight="false" outlineLevel="0" collapsed="false">
      <c r="A31" s="6" t="s">
        <v>45</v>
      </c>
      <c r="E31" s="10" t="n">
        <f aca="false">$E$15/$E$16</f>
        <v>0.005</v>
      </c>
      <c r="F31" s="8" t="s">
        <v>19</v>
      </c>
    </row>
    <row r="32" customFormat="false" ht="15" hidden="false" customHeight="false" outlineLevel="0" collapsed="false">
      <c r="A32" s="6" t="s">
        <v>46</v>
      </c>
      <c r="E32" s="10" t="n">
        <f aca="false">$E$27/$E$13</f>
        <v>26</v>
      </c>
      <c r="F32" s="8" t="s">
        <v>47</v>
      </c>
      <c r="G32" s="7" t="n">
        <v>26</v>
      </c>
    </row>
    <row r="33" customFormat="false" ht="17.15" hidden="false" customHeight="false" outlineLevel="0" collapsed="false">
      <c r="A33" s="6" t="s">
        <v>48</v>
      </c>
      <c r="E33" s="10" t="n">
        <f aca="false">$E$27*$B$20/$E$13</f>
        <v>11.7</v>
      </c>
      <c r="F33" s="8" t="s">
        <v>49</v>
      </c>
      <c r="G33" s="7" t="n">
        <v>11.7</v>
      </c>
    </row>
    <row r="34" customFormat="false" ht="15" hidden="false" customHeight="false" outlineLevel="0" collapsed="false">
      <c r="A34" s="6" t="s">
        <v>50</v>
      </c>
      <c r="E34" s="10" t="n">
        <f aca="false">$E$29*$B$21/$E$13</f>
        <v>0</v>
      </c>
      <c r="F34" s="8" t="s">
        <v>49</v>
      </c>
      <c r="G34" s="7" t="n">
        <v>0</v>
      </c>
    </row>
    <row r="35" customFormat="false" ht="17.15" hidden="false" customHeight="false" outlineLevel="0" collapsed="false">
      <c r="A35" s="6" t="s">
        <v>51</v>
      </c>
      <c r="E35" s="10" t="n">
        <f aca="false">$E$12*$B$22/$E$13</f>
        <v>2.4</v>
      </c>
      <c r="F35" s="8" t="s">
        <v>49</v>
      </c>
      <c r="G35" s="7" t="n">
        <v>2.4</v>
      </c>
    </row>
    <row r="36" customFormat="false" ht="17.15" hidden="false" customHeight="false" outlineLevel="0" collapsed="false">
      <c r="A36" s="6" t="s">
        <v>52</v>
      </c>
      <c r="E36" s="10" t="n">
        <f aca="false">$E$31*$B$23/$E$13</f>
        <v>0.04</v>
      </c>
      <c r="F36" s="8" t="s">
        <v>49</v>
      </c>
      <c r="G36" s="7" t="n">
        <v>0.04</v>
      </c>
    </row>
    <row r="37" customFormat="false" ht="17.15" hidden="false" customHeight="false" outlineLevel="0" collapsed="false">
      <c r="A37" s="6" t="s">
        <v>53</v>
      </c>
      <c r="E37" s="10" t="n">
        <f aca="false">$E$33+$E$34+$E$35+$E$36</f>
        <v>14.14</v>
      </c>
      <c r="F37" s="8" t="s">
        <v>49</v>
      </c>
      <c r="G37" s="7" t="n">
        <v>14.14</v>
      </c>
    </row>
    <row r="38" customFormat="false" ht="17.15" hidden="false" customHeight="false" outlineLevel="0" collapsed="false">
      <c r="A38" s="6" t="s">
        <v>54</v>
      </c>
      <c r="E38" s="10" t="n">
        <f aca="false">$E$28*$B$20/$E$13+$E$30*$B$21/$E$13+$E$35+$E$36</f>
        <v>11.44</v>
      </c>
      <c r="F38" s="8" t="s">
        <v>49</v>
      </c>
      <c r="G38" s="7" t="n">
        <v>11.44</v>
      </c>
    </row>
    <row r="39" customFormat="false" ht="15" hidden="false" customHeight="false" outlineLevel="0" collapsed="false">
      <c r="A39" s="6" t="s">
        <v>55</v>
      </c>
      <c r="E39" s="10" t="n">
        <f aca="false">$E$13/($E$13+$E$14)</f>
        <v>0.257731958762887</v>
      </c>
      <c r="F39" s="8" t="s">
        <v>56</v>
      </c>
    </row>
    <row r="40" customFormat="false" ht="17.15" hidden="false" customHeight="false" outlineLevel="0" collapsed="false">
      <c r="A40" s="6" t="s">
        <v>57</v>
      </c>
      <c r="E40" s="10" t="n">
        <f aca="false">$E$37*$E$39</f>
        <v>3.64432989690722</v>
      </c>
      <c r="F40" s="8" t="s">
        <v>49</v>
      </c>
      <c r="G40" s="7" t="n">
        <v>3.644</v>
      </c>
    </row>
    <row r="42" customFormat="false" ht="15" hidden="false" customHeight="false" outlineLevel="0" collapsed="false">
      <c r="A42" s="1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2026-10-09T09:51:20Z</dcterms:created>
  <dc:creator>openpyxl</dc:creator>
  <dc:description/>
  <dc:language>en-US</dc:language>
  <cp:lastModifiedBy/>
  <dcterms:modified xsi:type="dcterms:W3CDTF">2026-10-09T09:51:20Z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