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험기록" sheetId="1" state="visible" r:id="rId3"/>
    <sheet name="계산설정" sheetId="2" state="visible" r:id="rId4"/>
    <sheet name="배출계수" sheetId="3" state="visible" r:id="rId5"/>
    <sheet name="작성예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<sst xmlns="http://schemas.openxmlformats.org/spreadsheetml/2006/main" count="902" uniqueCount="375">
  <si>
    <r>
      <rPr>
        <b val="true"/>
        <sz val="10"/>
        <color rgb="FFFFFFFF"/>
        <rFont val="Noto Sans CJK SC"/>
        <family val="2"/>
      </rPr>
      <t xml:space="preserve">실험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</si>
  <si>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구간</t>
  </si>
  <si>
    <t xml:space="preserve">항목</t>
  </si>
  <si>
    <t xml:space="preserve">항목코드</t>
  </si>
  <si>
    <t xml:space="preserve">값</t>
  </si>
  <si>
    <t xml:space="preserve">단위</t>
  </si>
  <si>
    <t xml:space="preserve">측정 구간 설명</t>
  </si>
  <si>
    <r>
      <rPr>
        <b val="true"/>
        <sz val="10"/>
        <color rgb="FFFFFFFF"/>
        <rFont val="Noto Sans CJK SC"/>
        <family val="2"/>
      </rPr>
      <t xml:space="preserve">필수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선택</t>
    </r>
  </si>
  <si>
    <t xml:space="preserve">확보 구분</t>
  </si>
  <si>
    <t xml:space="preserve">비고</t>
  </si>
  <si>
    <t xml:space="preserve">작성 안내</t>
  </si>
  <si>
    <t xml:space="preserve">승온</t>
  </si>
  <si>
    <t xml:space="preserve">운전시간</t>
  </si>
  <si>
    <t xml:space="preserve">OP_TIME</t>
  </si>
  <si>
    <t xml:space="preserve">h</t>
  </si>
  <si>
    <r>
      <rPr>
        <sz val="10"/>
        <color rgb="FF000000"/>
        <rFont val="Noto Sans CJK SC"/>
        <family val="2"/>
      </rPr>
      <t xml:space="preserve">가열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반응온도 도달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메탄 공급 시작 전</t>
    </r>
    <r>
      <rPr>
        <sz val="10"/>
        <color rgb="FF000000"/>
        <rFont val="Arial"/>
        <family val="0"/>
        <charset val="1"/>
      </rPr>
      <t xml:space="preserve">)</t>
    </r>
  </si>
  <si>
    <t xml:space="preserve">선택</t>
  </si>
  <si>
    <t xml:space="preserve">확인 전 판단 어려움</t>
  </si>
  <si>
    <t xml:space="preserve">승온 프로그램은 설정되지만 구간별 실제 소요시간을 따로 남기는지 확인 필요</t>
  </si>
  <si>
    <r>
      <rPr>
        <sz val="10"/>
        <color rgb="FF000000"/>
        <rFont val="Noto Sans CJK SC"/>
        <family val="2"/>
      </rPr>
      <t xml:space="preserve">노란 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실험</t>
    </r>
    <r>
      <rPr>
        <sz val="10"/>
        <color rgb="FF000000"/>
        <rFont val="Arial"/>
        <family val="0"/>
        <charset val="1"/>
      </rPr>
      <t xml:space="preserve">ID·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만 입력한다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나머지 열은 양식 정의이므로 수정하지 않는다</t>
    </r>
    <r>
      <rPr>
        <sz val="10"/>
        <color rgb="FF000000"/>
        <rFont val="Arial"/>
        <family val="0"/>
        <charset val="1"/>
      </rPr>
      <t xml:space="preserve">.</t>
    </r>
  </si>
  <si>
    <t xml:space="preserve">전력 사용량</t>
  </si>
  <si>
    <t xml:space="preserve">ELEC</t>
  </si>
  <si>
    <t xml:space="preserve">kWh</t>
  </si>
  <si>
    <r>
      <rPr>
        <sz val="10"/>
        <color rgb="FF000000"/>
        <rFont val="Noto Sans CJK SC"/>
        <family val="2"/>
      </rPr>
      <t xml:space="preserve">가열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메탄 공급 시작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보조장비 전체</t>
    </r>
  </si>
  <si>
    <t xml:space="preserve">필수</t>
  </si>
  <si>
    <t xml:space="preserve">추가 측정이 필요할 것으로 예상</t>
  </si>
  <si>
    <r>
      <rPr>
        <sz val="10"/>
        <color rgb="FF000000"/>
        <rFont val="Noto Sans CJK SC"/>
        <family val="2"/>
      </rPr>
      <t xml:space="preserve">실험실 전기로는 전력량을 기록하지 않는 경우가 많아 전력량계 설치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로그 확인 필요</t>
    </r>
  </si>
  <si>
    <r>
      <rPr>
        <sz val="10"/>
        <color rgb="FF000000"/>
        <rFont val="Noto Sans CJK SC"/>
        <family val="2"/>
      </rPr>
      <t xml:space="preserve">실험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이 표 전체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중단 구간별 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실험이 여러 건이면 행 묶음을 복사해 아래에 붙이고 실험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를 바꾼다</t>
    </r>
    <r>
      <rPr>
        <sz val="10"/>
        <color rgb="FF000000"/>
        <rFont val="Arial"/>
        <family val="0"/>
        <charset val="1"/>
      </rPr>
      <t xml:space="preserve">.</t>
    </r>
  </si>
  <si>
    <t xml:space="preserve">외부 공급열</t>
  </si>
  <si>
    <t xml:space="preserve">HEAT_EXT</t>
  </si>
  <si>
    <t xml:space="preserve">MJ</t>
  </si>
  <si>
    <r>
      <rPr>
        <sz val="10"/>
        <color rgb="FF000000"/>
        <rFont val="Noto Sans CJK SC"/>
        <family val="2"/>
      </rPr>
      <t xml:space="preserve">승온 구간에 전기 외 열원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버너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예열기 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공급한 열</t>
    </r>
  </si>
  <si>
    <r>
      <rPr>
        <sz val="10"/>
        <color rgb="FF000000"/>
        <rFont val="Noto Sans CJK SC"/>
        <family val="2"/>
      </rPr>
      <t xml:space="preserve">전기 가열만 쓰면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입력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다른 열원 사용 여부는 장비 구성에 따라 다름</t>
    </r>
  </si>
  <si>
    <r>
      <rPr>
        <sz val="10"/>
        <color rgb="FF000000"/>
        <rFont val="Noto Sans CJK SC"/>
        <family val="2"/>
      </rPr>
      <t xml:space="preserve">단위는 측정 장비에 기록된 그대로 적는다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Wh, g). </t>
    </r>
    <r>
      <rPr>
        <sz val="10"/>
        <color rgb="FF000000"/>
        <rFont val="Noto Sans CJK SC"/>
        <family val="2"/>
      </rPr>
      <t xml:space="preserve">계산 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계산설정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의 단위환산표로 표준단위로 바꾼다</t>
    </r>
    <r>
      <rPr>
        <sz val="10"/>
        <color rgb="FF000000"/>
        <rFont val="Arial"/>
        <family val="0"/>
        <charset val="1"/>
      </rPr>
      <t xml:space="preserve">.</t>
    </r>
  </si>
  <si>
    <t xml:space="preserve">반응</t>
  </si>
  <si>
    <t xml:space="preserve">메탄 신규 공급량</t>
  </si>
  <si>
    <t xml:space="preserve">CH4_NEW</t>
  </si>
  <si>
    <t xml:space="preserve">kg</t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</si>
  <si>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외부에서 새로 공급한 메탄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재순환분 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</si>
  <si>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재순환 없는 일회 통과식이면 투입량과 같음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재순환 구성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집계 방식 확인 필요</t>
    </r>
  </si>
  <si>
    <r>
      <rPr>
        <sz val="10"/>
        <color rgb="FF000000"/>
        <rFont val="Noto Sans CJK SC"/>
        <family val="2"/>
      </rPr>
      <t xml:space="preserve">측정하지 않은 값은 비워 둔다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추정값으로 채우지 않는다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필수값이 비면 계산 보류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선택값이 비면 해당 점검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참고값만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자료 부족</t>
    </r>
    <r>
      <rPr>
        <sz val="10"/>
        <color rgb="FF000000"/>
        <rFont val="Arial"/>
        <family val="0"/>
        <charset val="1"/>
      </rPr>
      <t xml:space="preserve">').</t>
    </r>
  </si>
  <si>
    <t xml:space="preserve">반응기 메탄 투입량</t>
  </si>
  <si>
    <t xml:space="preserve">CH4_IN</t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</si>
  <si>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반응기 입구 기준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재순환분 포함</t>
    </r>
    <r>
      <rPr>
        <sz val="10"/>
        <color rgb="FF000000"/>
        <rFont val="Arial"/>
        <family val="0"/>
        <charset val="1"/>
      </rPr>
      <t xml:space="preserve">)</t>
    </r>
  </si>
  <si>
    <t xml:space="preserve">기록될 것으로 예상</t>
  </si>
  <si>
    <r>
      <rPr>
        <sz val="10"/>
        <color rgb="FF000000"/>
        <rFont val="Arial"/>
        <family val="0"/>
        <charset val="1"/>
      </rPr>
      <t xml:space="preserve">MFC </t>
    </r>
    <r>
      <rPr>
        <sz val="10"/>
        <color rgb="FF000000"/>
        <rFont val="Noto Sans CJK SC"/>
        <family val="2"/>
      </rPr>
      <t xml:space="preserve">유량 설정값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공급시간으로 환산해 기록하는 경우가 많음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화학양론 점검용</t>
    </r>
  </si>
  <si>
    <r>
      <rPr>
        <sz val="10"/>
        <color rgb="FF000000"/>
        <rFont val="Noto Sans CJK SC"/>
        <family val="2"/>
      </rPr>
      <t xml:space="preserve">전기 외 열원이 없으면 외부 공급열은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을 입력한다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빈칸과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을 구분</t>
    </r>
    <r>
      <rPr>
        <sz val="10"/>
        <color rgb="FF000000"/>
        <rFont val="Arial"/>
        <family val="0"/>
        <charset val="1"/>
      </rPr>
      <t xml:space="preserve">).</t>
    </r>
  </si>
  <si>
    <r>
      <rPr>
        <sz val="10"/>
        <color rgb="FF000000"/>
        <rFont val="Noto Sans CJK SC"/>
        <family val="2"/>
      </rPr>
      <t xml:space="preserve">반응기 메탄 배출량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미반응</t>
    </r>
    <r>
      <rPr>
        <sz val="10"/>
        <color rgb="FF000000"/>
        <rFont val="Arial"/>
        <family val="0"/>
        <charset val="1"/>
      </rPr>
      <t xml:space="preserve">)</t>
    </r>
  </si>
  <si>
    <t xml:space="preserve">CH4_OUT</t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</si>
  <si>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반응기 출구의 미반응 메탄</t>
    </r>
  </si>
  <si>
    <r>
      <rPr>
        <sz val="10"/>
        <color rgb="FF000000"/>
        <rFont val="Noto Sans CJK SC"/>
        <family val="2"/>
      </rPr>
      <t xml:space="preserve">출구 유량 실측인지</t>
    </r>
    <r>
      <rPr>
        <sz val="10"/>
        <color rgb="FF000000"/>
        <rFont val="Arial"/>
        <family val="0"/>
        <charset val="1"/>
      </rPr>
      <t xml:space="preserve">, GC </t>
    </r>
    <r>
      <rPr>
        <sz val="10"/>
        <color rgb="FF000000"/>
        <rFont val="Noto Sans CJK SC"/>
        <family val="2"/>
      </rPr>
      <t xml:space="preserve">조성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전환율로 역산하는지 연구실마다 다름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화학양론 점검용</t>
    </r>
  </si>
  <si>
    <r>
      <rPr>
        <sz val="10"/>
        <color rgb="FF000000"/>
        <rFont val="Noto Sans CJK SC"/>
        <family val="2"/>
      </rPr>
      <t xml:space="preserve">같은 실험</t>
    </r>
    <r>
      <rPr>
        <sz val="10"/>
        <color rgb="FF000000"/>
        <rFont val="Arial"/>
        <family val="0"/>
        <charset val="1"/>
      </rPr>
      <t xml:space="preserve">ID·</t>
    </r>
    <r>
      <rPr>
        <sz val="10"/>
        <color rgb="FF000000"/>
        <rFont val="Noto Sans CJK SC"/>
        <family val="2"/>
      </rPr>
      <t xml:space="preserve">구간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항목 행이 두 번 있으면 중복 기록으로 보고 계산을 보류한다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</si>
  <si>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가스 조성 </t>
    </r>
    <r>
      <rPr>
        <sz val="10"/>
        <color rgb="FF000000"/>
        <rFont val="Arial"/>
        <family val="0"/>
        <charset val="1"/>
      </rPr>
      <t xml:space="preserve">- CH4 </t>
    </r>
    <r>
      <rPr>
        <sz val="10"/>
        <color rgb="FF000000"/>
        <rFont val="Noto Sans CJK SC"/>
        <family val="2"/>
      </rPr>
      <t xml:space="preserve">몰분율</t>
    </r>
  </si>
  <si>
    <t xml:space="preserve">X_CH4</t>
  </si>
  <si>
    <t xml:space="preserve">mol/mol</t>
  </si>
  <si>
    <r>
      <rPr>
        <sz val="10"/>
        <color rgb="FF000000"/>
        <rFont val="Noto Sans CJK SC"/>
        <family val="2"/>
      </rPr>
      <t xml:space="preserve">반응 구간 출구 가스</t>
    </r>
    <r>
      <rPr>
        <sz val="10"/>
        <color rgb="FF000000"/>
        <rFont val="Arial"/>
        <family val="0"/>
        <charset val="1"/>
      </rPr>
      <t xml:space="preserve">, GC </t>
    </r>
    <r>
      <rPr>
        <sz val="10"/>
        <color rgb="FF000000"/>
        <rFont val="Noto Sans CJK SC"/>
        <family val="2"/>
      </rPr>
      <t xml:space="preserve">분석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평균값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</si>
  <si>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메탄 열분해 실험에서 </t>
    </r>
    <r>
      <rPr>
        <sz val="10"/>
        <color rgb="FF000000"/>
        <rFont val="Arial"/>
        <family val="0"/>
        <charset val="1"/>
      </rPr>
      <t xml:space="preserve">GC </t>
    </r>
    <r>
      <rPr>
        <sz val="10"/>
        <color rgb="FF000000"/>
        <rFont val="Noto Sans CJK SC"/>
        <family val="2"/>
      </rPr>
      <t xml:space="preserve">출구 조성 분석은 통상 수행됨</t>
    </r>
  </si>
  <si>
    <r>
      <rPr>
        <sz val="10"/>
        <color rgb="FF000000"/>
        <rFont val="Noto Sans CJK SC"/>
        <family val="2"/>
      </rPr>
      <t xml:space="preserve">작성 예시는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작성예시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시트 참고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가상 데이터</t>
    </r>
    <r>
      <rPr>
        <sz val="10"/>
        <color rgb="FF000000"/>
        <rFont val="Arial"/>
        <family val="0"/>
        <charset val="1"/>
      </rPr>
      <t xml:space="preserve">).</t>
    </r>
  </si>
  <si>
    <r>
      <rPr>
        <sz val="10"/>
        <color rgb="FF000000"/>
        <rFont val="Noto Sans CJK SC"/>
        <family val="2"/>
      </rPr>
      <t xml:space="preserve">가스 조성 </t>
    </r>
    <r>
      <rPr>
        <sz val="10"/>
        <color rgb="FF000000"/>
        <rFont val="Arial"/>
        <family val="0"/>
        <charset val="1"/>
      </rPr>
      <t xml:space="preserve">- H2 </t>
    </r>
    <r>
      <rPr>
        <sz val="10"/>
        <color rgb="FF000000"/>
        <rFont val="Noto Sans CJK SC"/>
        <family val="2"/>
      </rPr>
      <t xml:space="preserve">몰분율</t>
    </r>
  </si>
  <si>
    <t xml:space="preserve">X_H2</t>
  </si>
  <si>
    <t xml:space="preserve">반응온도</t>
  </si>
  <si>
    <t xml:space="preserve">TEMP</t>
  </si>
  <si>
    <t xml:space="preserve">℃</t>
  </si>
  <si>
    <r>
      <rPr>
        <sz val="10"/>
        <color rgb="FF000000"/>
        <rFont val="Noto Sans CJK SC"/>
        <family val="2"/>
      </rPr>
      <t xml:space="preserve">반응 구간 설정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유지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온도</t>
    </r>
  </si>
  <si>
    <r>
      <rPr>
        <sz val="10"/>
        <color rgb="FF000000"/>
        <rFont val="Noto Sans CJK SC"/>
        <family val="2"/>
      </rPr>
      <t xml:space="preserve">실험조건으로 항상 기록됨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영수증 식별용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계산에는 미사용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</si>
  <si>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</si>
  <si>
    <r>
      <rPr>
        <sz val="10"/>
        <color rgb="FF000000"/>
        <rFont val="Noto Sans CJK SC"/>
        <family val="2"/>
      </rPr>
      <t xml:space="preserve">반응시간</t>
    </r>
    <r>
      <rPr>
        <sz val="10"/>
        <color rgb="FF000000"/>
        <rFont val="Arial"/>
        <family val="0"/>
        <charset val="1"/>
      </rPr>
      <t xml:space="preserve">(TOS)</t>
    </r>
    <r>
      <rPr>
        <sz val="10"/>
        <color rgb="FF000000"/>
        <rFont val="Noto Sans CJK SC"/>
        <family val="2"/>
      </rPr>
      <t xml:space="preserve">은 실험조건으로 통상 기록됨</t>
    </r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</si>
  <si>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보조장비 전체</t>
    </r>
  </si>
  <si>
    <t xml:space="preserve">반응 구간에 전기 외 열원으로 공급한 열</t>
  </si>
  <si>
    <t xml:space="preserve">수소 생산량</t>
  </si>
  <si>
    <t xml:space="preserve">H2_PROD</t>
  </si>
  <si>
    <r>
      <rPr>
        <sz val="10"/>
        <color rgb="FF000000"/>
        <rFont val="Noto Sans CJK SC"/>
        <family val="2"/>
      </rPr>
      <t xml:space="preserve">메탄 공급 시작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출구 가스 중 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질량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유량</t>
    </r>
    <r>
      <rPr>
        <sz val="10"/>
        <color rgb="FF000000"/>
        <rFont val="Arial"/>
        <family val="0"/>
        <charset val="1"/>
      </rPr>
      <t xml:space="preserve">×H2 </t>
    </r>
    <r>
      <rPr>
        <sz val="10"/>
        <color rgb="FF000000"/>
        <rFont val="Noto Sans CJK SC"/>
        <family val="2"/>
      </rPr>
      <t xml:space="preserve">몰분율 적산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</si>
  <si>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논문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노트에는 전환율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수율로 남기는 경우가 많아 질량 환산 가능 여부 확인 필요</t>
    </r>
  </si>
  <si>
    <t xml:space="preserve">수소 순도</t>
  </si>
  <si>
    <t xml:space="preserve">H2_PURITY</t>
  </si>
  <si>
    <t xml:space="preserve">mol%</t>
  </si>
  <si>
    <r>
      <rPr>
        <sz val="10"/>
        <color rgb="FF000000"/>
        <rFont val="Noto Sans CJK SC"/>
        <family val="2"/>
      </rPr>
      <t xml:space="preserve">수소 생산량을 측정한 지점의 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몰분율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정제 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</si>
  <si>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순도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를 출구 가스 기준으로 볼지 분리 후 기준으로 볼지 정의 확인 필요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정제는 경계 밖</t>
    </r>
  </si>
  <si>
    <t xml:space="preserve">고체탄소 회수량</t>
  </si>
  <si>
    <t xml:space="preserve">C_REC</t>
  </si>
  <si>
    <r>
      <rPr>
        <sz val="10"/>
        <color rgb="FF000000"/>
        <rFont val="Noto Sans CJK SC"/>
        <family val="2"/>
      </rPr>
      <t xml:space="preserve">실험 종료 후 회수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칭량한 고체탄소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촉매 질량 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</si>
  <si>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촉매 전후 무게 차로 탄소 수율을 보고하는 경우가 있으나 회수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칭량 방식 확인 필요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질량 배분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탄소 점검용</t>
    </r>
  </si>
  <si>
    <t xml:space="preserve">반응기 내 탄소 축적량</t>
  </si>
  <si>
    <t xml:space="preserve">C_ACC</t>
  </si>
  <si>
    <r>
      <rPr>
        <sz val="10"/>
        <color rgb="FF000000"/>
        <rFont val="Noto Sans CJK SC"/>
        <family val="2"/>
      </rPr>
      <t xml:space="preserve">회수하지 못하고 반응기 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배관에 남은 탄소</t>
    </r>
  </si>
  <si>
    <r>
      <rPr>
        <sz val="10"/>
        <color rgb="FF000000"/>
        <rFont val="Noto Sans CJK SC"/>
        <family val="2"/>
      </rPr>
      <t xml:space="preserve">통상 별도로 측정하지 않음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탄소수지 점검 정확도를 높일 때 추가 측정</t>
    </r>
  </si>
  <si>
    <t xml:space="preserve">촉매 종류</t>
  </si>
  <si>
    <t xml:space="preserve">CAT_TYPE</t>
  </si>
  <si>
    <t xml:space="preserve">-</t>
  </si>
  <si>
    <r>
      <rPr>
        <sz val="10"/>
        <color rgb="FF000000"/>
        <rFont val="Noto Sans CJK SC"/>
        <family val="2"/>
      </rPr>
      <t xml:space="preserve">이번 실험에 사용한 촉매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배출계수 선택에 사용</t>
    </r>
    <r>
      <rPr>
        <sz val="10"/>
        <color rgb="FF000000"/>
        <rFont val="Arial"/>
        <family val="0"/>
        <charset val="1"/>
      </rPr>
      <t xml:space="preserve">)</t>
    </r>
  </si>
  <si>
    <t xml:space="preserve">실험조건으로 항상 기록됨</t>
  </si>
  <si>
    <t xml:space="preserve">촉매 사용량</t>
  </si>
  <si>
    <t xml:space="preserve">CAT_MASS</t>
  </si>
  <si>
    <r>
      <rPr>
        <sz val="10"/>
        <color rgb="FF000000"/>
        <rFont val="Noto Sans CJK SC"/>
        <family val="2"/>
      </rPr>
      <t xml:space="preserve">반응기에 충전한 촉매 질량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최초 투입 기준</t>
    </r>
    <r>
      <rPr>
        <sz val="10"/>
        <color rgb="FF000000"/>
        <rFont val="Arial"/>
        <family val="0"/>
        <charset val="1"/>
      </rPr>
      <t xml:space="preserve">)</t>
    </r>
  </si>
  <si>
    <t xml:space="preserve">실험조건으로 통상 기록됨</t>
  </si>
  <si>
    <t xml:space="preserve">촉매 최초 사용 포함 총 사용 횟수</t>
  </si>
  <si>
    <t xml:space="preserve">CAT_USES</t>
  </si>
  <si>
    <t xml:space="preserve">회</t>
  </si>
  <si>
    <r>
      <rPr>
        <sz val="10"/>
        <color rgb="FF000000"/>
        <rFont val="Noto Sans CJK SC"/>
        <family val="2"/>
      </rPr>
      <t xml:space="preserve">같은 촉매 충전분으로 수행한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할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실험 횟수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최초 사용을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회로 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최초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재사용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</t>
    </r>
    <r>
      <rPr>
        <sz val="10"/>
        <color rgb="FF000000"/>
        <rFont val="Arial"/>
        <family val="0"/>
        <charset val="1"/>
      </rPr>
      <t xml:space="preserve">= 4)</t>
    </r>
  </si>
  <si>
    <r>
      <rPr>
        <sz val="10"/>
        <color rgb="FF000000"/>
        <rFont val="Noto Sans CJK SC"/>
        <family val="2"/>
      </rPr>
      <t xml:space="preserve">재생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재사용 여부와 횟수를 실험별로 남기는지 확인 필요</t>
    </r>
    <r>
      <rPr>
        <sz val="10"/>
        <color rgb="FF000000"/>
        <rFont val="Arial"/>
        <family val="0"/>
        <charset val="1"/>
      </rPr>
      <t xml:space="preserve">. 1</t>
    </r>
    <r>
      <rPr>
        <sz val="10"/>
        <color rgb="FF000000"/>
        <rFont val="Noto Sans CJK SC"/>
        <family val="2"/>
      </rPr>
      <t xml:space="preserve">이면 이번 실험에 전량 배분</t>
    </r>
  </si>
  <si>
    <t xml:space="preserve">중단</t>
  </si>
  <si>
    <r>
      <rPr>
        <sz val="10"/>
        <color rgb="FF000000"/>
        <rFont val="Noto Sans CJK SC"/>
        <family val="2"/>
      </rPr>
      <t xml:space="preserve">메탄 공급 중단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전원 차단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냉각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퍼지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</si>
  <si>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냉각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퍼지 시간을 구간별로 남기는지 확인 필요</t>
    </r>
  </si>
  <si>
    <r>
      <rPr>
        <sz val="10"/>
        <color rgb="FF000000"/>
        <rFont val="Noto Sans CJK SC"/>
        <family val="2"/>
      </rPr>
      <t xml:space="preserve">메탄 공급 중단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전원 차단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보조장비 전체</t>
    </r>
  </si>
  <si>
    <t xml:space="preserve">중단 구간에 전기 외 열원으로 공급한 열</t>
  </si>
  <si>
    <r>
      <rPr>
        <b val="true"/>
        <sz val="10"/>
        <color rgb="FFFFFFFF"/>
        <rFont val="Noto Sans CJK SC"/>
        <family val="2"/>
      </rPr>
      <t xml:space="preserve">설정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</si>
  <si>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</si>
  <si>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설명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근거</t>
    </r>
  </si>
  <si>
    <t xml:space="preserve">FORM_VERSION</t>
  </si>
  <si>
    <t xml:space="preserve">버전</t>
  </si>
  <si>
    <t xml:space="preserve">입력양식 버전</t>
  </si>
  <si>
    <t xml:space="preserve">v0.1</t>
  </si>
  <si>
    <t xml:space="preserve">양식 구조 변경 시 갱신</t>
  </si>
  <si>
    <r>
      <rPr>
        <sz val="10"/>
        <color rgb="FF000000"/>
        <rFont val="Noto Sans CJK SC"/>
        <family val="2"/>
      </rPr>
      <t xml:space="preserve">이 시트의 값은 계산 엔진이 그대로 읽는다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설정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는 바꾸지 않는다</t>
    </r>
    <r>
      <rPr>
        <sz val="10"/>
        <color rgb="FF000000"/>
        <rFont val="Arial"/>
        <family val="0"/>
        <charset val="1"/>
      </rPr>
      <t xml:space="preserve">.</t>
    </r>
  </si>
  <si>
    <t xml:space="preserve">EF_VERSION</t>
  </si>
  <si>
    <t xml:space="preserve">적용 배출계수 버전</t>
  </si>
  <si>
    <t xml:space="preserve">EF-DEMO-v0.1</t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</si>
  <si>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배출계수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시트의 버전 열과 일치하는 계수만 사용</t>
    </r>
  </si>
  <si>
    <r>
      <rPr>
        <sz val="10"/>
        <color rgb="FF000000"/>
        <rFont val="Noto Sans CJK SC"/>
        <family val="2"/>
      </rPr>
      <t xml:space="preserve">분홍 칸은 시연용 예시값이다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 적용 전에 연구실 자료로 확인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교체한다</t>
    </r>
    <r>
      <rPr>
        <sz val="10"/>
        <color rgb="FF000000"/>
        <rFont val="Arial"/>
        <family val="0"/>
        <charset val="1"/>
      </rPr>
      <t xml:space="preserve">.</t>
    </r>
  </si>
  <si>
    <t xml:space="preserve">FU</t>
  </si>
  <si>
    <t xml:space="preserve">기능단위</t>
  </si>
  <si>
    <t xml:space="preserve">kg-H2</t>
  </si>
  <si>
    <r>
      <rPr>
        <sz val="10"/>
        <color rgb="FF000000"/>
        <rFont val="Noto Sans CJK SC"/>
        <family val="2"/>
      </rPr>
      <t xml:space="preserve">수소 </t>
    </r>
    <r>
      <rPr>
        <sz val="10"/>
        <color rgb="FF000000"/>
        <rFont val="Arial"/>
        <family val="0"/>
        <charset val="1"/>
      </rPr>
      <t xml:space="preserve">1 kg</t>
    </r>
    <r>
      <rPr>
        <sz val="10"/>
        <color rgb="FF000000"/>
        <rFont val="Noto Sans CJK SC"/>
        <family val="2"/>
      </rPr>
      <t xml:space="preserve">당 배출량</t>
    </r>
    <r>
      <rPr>
        <sz val="10"/>
        <color rgb="FF000000"/>
        <rFont val="Arial"/>
        <family val="0"/>
        <charset val="1"/>
      </rPr>
      <t xml:space="preserve">(kgCO2-eq/kg-H2)</t>
    </r>
    <r>
      <rPr>
        <sz val="10"/>
        <color rgb="FF000000"/>
        <rFont val="Noto Sans CJK SC"/>
        <family val="2"/>
      </rPr>
      <t xml:space="preserve">으로 표시</t>
    </r>
  </si>
  <si>
    <r>
      <rPr>
        <sz val="10"/>
        <color rgb="FF000000"/>
        <rFont val="Noto Sans CJK SC"/>
        <family val="2"/>
      </rPr>
      <t xml:space="preserve">에너지 집계 구간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메탄 기준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촉매 배분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고체탄소 처리 가정은 영수증의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적용 가정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에 그대로 표시된다</t>
    </r>
    <r>
      <rPr>
        <sz val="10"/>
        <color rgb="FF000000"/>
        <rFont val="Arial"/>
        <family val="0"/>
        <charset val="1"/>
      </rPr>
      <t xml:space="preserve">.</t>
    </r>
  </si>
  <si>
    <t xml:space="preserve">BOUNDARY_IN_1</t>
  </si>
  <si>
    <t xml:space="preserve">시스템 경계</t>
  </si>
  <si>
    <t xml:space="preserve">포함</t>
  </si>
  <si>
    <r>
      <rPr>
        <sz val="10"/>
        <color rgb="FF000000"/>
        <rFont val="Noto Sans CJK SC"/>
        <family val="2"/>
      </rPr>
      <t xml:space="preserve">원료 메탄 생산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공급</t>
    </r>
  </si>
  <si>
    <r>
      <rPr>
        <sz val="10"/>
        <color rgb="FF000000"/>
        <rFont val="Noto Sans CJK SC"/>
        <family val="2"/>
      </rPr>
      <t xml:space="preserve">메탄 신규 공급량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메탄 생산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공급 배출계수</t>
    </r>
  </si>
  <si>
    <t xml:space="preserve">BOUNDARY_IN_2</t>
  </si>
  <si>
    <r>
      <rPr>
        <sz val="10"/>
        <color rgb="FF000000"/>
        <rFont val="Noto Sans CJK SC"/>
        <family val="2"/>
      </rPr>
      <t xml:space="preserve">공정 전력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열</t>
    </r>
  </si>
  <si>
    <r>
      <rPr>
        <sz val="10"/>
        <color rgb="FF000000"/>
        <rFont val="Noto Sans CJK SC"/>
        <family val="2"/>
      </rPr>
      <t xml:space="preserve">전력 사용량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외부 공급열</t>
    </r>
  </si>
  <si>
    <t xml:space="preserve">BOUNDARY_IN_3</t>
  </si>
  <si>
    <t xml:space="preserve">촉매</t>
  </si>
  <si>
    <r>
      <rPr>
        <sz val="10"/>
        <color rgb="FF000000"/>
        <rFont val="Noto Sans CJK SC"/>
        <family val="2"/>
      </rPr>
      <t xml:space="preserve">촉매 제조 배출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배분량 기준</t>
    </r>
    <r>
      <rPr>
        <sz val="10"/>
        <color rgb="FF000000"/>
        <rFont val="Arial"/>
        <family val="0"/>
        <charset val="1"/>
      </rPr>
      <t xml:space="preserve">)</t>
    </r>
  </si>
  <si>
    <t xml:space="preserve">BOUNDARY_OUT_1</t>
  </si>
  <si>
    <t xml:space="preserve">제외</t>
  </si>
  <si>
    <r>
      <rPr>
        <sz val="10"/>
        <color rgb="FF000000"/>
        <rFont val="Noto Sans CJK SC"/>
        <family val="2"/>
      </rPr>
      <t xml:space="preserve">수소 정제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압축</t>
    </r>
  </si>
  <si>
    <r>
      <rPr>
        <sz val="10"/>
        <color rgb="FF000000"/>
        <rFont val="Noto Sans CJK SC"/>
        <family val="2"/>
      </rPr>
      <t xml:space="preserve">실험실 규모에서 정제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압축 공정 없음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영수증에 경계 밖 항목으로 표시</t>
    </r>
  </si>
  <si>
    <t xml:space="preserve">BOUNDARY_OUT_2</t>
  </si>
  <si>
    <t xml:space="preserve">공정 내 메탄 누출</t>
  </si>
  <si>
    <r>
      <rPr>
        <sz val="10"/>
        <color rgb="FF000000"/>
        <rFont val="Noto Sans CJK SC"/>
        <family val="2"/>
      </rPr>
      <t xml:space="preserve">실험실 배관 누출 측정 자료 없음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영수증에 경계 밖 항목으로 표시</t>
    </r>
  </si>
  <si>
    <t xml:space="preserve">BOUNDARY_OUT_3</t>
  </si>
  <si>
    <r>
      <rPr>
        <sz val="10"/>
        <color rgb="FF000000"/>
        <rFont val="Noto Sans CJK SC"/>
        <family val="2"/>
      </rPr>
      <t xml:space="preserve">고체탄소 후처리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활용</t>
    </r>
  </si>
  <si>
    <r>
      <rPr>
        <sz val="10"/>
        <color rgb="FF000000"/>
        <rFont val="Noto Sans CJK SC"/>
        <family val="2"/>
      </rPr>
      <t xml:space="preserve">회수 이후 정제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판매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대체효과는 본 단계에서 다루지 않음</t>
    </r>
  </si>
  <si>
    <t xml:space="preserve">BOUNDARY_OUT_4</t>
  </si>
  <si>
    <r>
      <rPr>
        <sz val="10"/>
        <color rgb="FF000000"/>
        <rFont val="Noto Sans CJK SC"/>
        <family val="2"/>
      </rPr>
      <t xml:space="preserve">미반응 메탄의 배기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연소 처리</t>
    </r>
  </si>
  <si>
    <r>
      <rPr>
        <sz val="10"/>
        <color rgb="FF000000"/>
        <rFont val="Noto Sans CJK SC"/>
        <family val="2"/>
      </rPr>
      <t xml:space="preserve">예시는 미반응 메탄 회수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재순환을 가정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일회 통과식 반응기라면 </t>
    </r>
    <r>
      <rPr>
        <sz val="10"/>
        <color rgb="FF000000"/>
        <rFont val="Arial"/>
        <family val="0"/>
        <charset val="1"/>
      </rPr>
      <t xml:space="preserve">CH4_NEW=CH4_IN</t>
    </r>
    <r>
      <rPr>
        <sz val="10"/>
        <color rgb="FF000000"/>
        <rFont val="Noto Sans CJK SC"/>
        <family val="2"/>
      </rPr>
      <t xml:space="preserve">으로 입력하고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미반응 메탄 처리 배출의 포함 여부는 연구실 확인 후 결정</t>
    </r>
  </si>
  <si>
    <t xml:space="preserve">LABEL_RESULT</t>
  </si>
  <si>
    <t xml:space="preserve">결과 표시</t>
  </si>
  <si>
    <t xml:space="preserve">결과 표시 문구</t>
  </si>
  <si>
    <r>
      <rPr>
        <sz val="10"/>
        <color rgb="FF000000"/>
        <rFont val="Noto Sans CJK SC"/>
        <family val="2"/>
      </rPr>
      <t xml:space="preserve">실험실 규모 연구용 결과 — 정제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압축 제외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상업 규모 추정치 아님</t>
    </r>
  </si>
  <si>
    <t xml:space="preserve">모든 영수증에 표시</t>
  </si>
  <si>
    <t xml:space="preserve">LABEL_DATA</t>
  </si>
  <si>
    <t xml:space="preserve">자료 상태 표시 문구</t>
  </si>
  <si>
    <r>
      <rPr>
        <sz val="10"/>
        <color rgb="FF000000"/>
        <rFont val="Noto Sans CJK SC"/>
        <family val="2"/>
      </rPr>
      <t xml:space="preserve">가상 데이터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예시 배출계수 기반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실제 실험값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공인 계수 아님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</si>
  <si>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실제 자료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확인된 계수로 바꾸기 전까지 표시</t>
    </r>
  </si>
  <si>
    <t xml:space="preserve">ENERGY_SCOPE_BASE</t>
  </si>
  <si>
    <t xml:space="preserve">에너지 집계</t>
  </si>
  <si>
    <t xml:space="preserve">기본 집계 구간</t>
  </si>
  <si>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중단</t>
    </r>
  </si>
  <si>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중단 구간 전력을 합산해 같은 배치의 수소 생산량으로 나눔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배치의 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종료 시점과 냉각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대기 구간 포함 여부는 실제 적용 전 연구실과 합의</t>
    </r>
  </si>
  <si>
    <t xml:space="preserve">ENERGY_SCOPE_REF</t>
  </si>
  <si>
    <t xml:space="preserve">참고 집계 구간</t>
  </si>
  <si>
    <r>
      <rPr>
        <sz val="10"/>
        <color rgb="FF000000"/>
        <rFont val="Noto Sans CJK SC"/>
        <family val="2"/>
      </rPr>
      <t xml:space="preserve">반응 구간만 별도 계산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참고값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중단 비중을 확인하는 용도</t>
    </r>
  </si>
  <si>
    <t xml:space="preserve">CH4_BASIS</t>
  </si>
  <si>
    <t xml:space="preserve">메탄 가정</t>
  </si>
  <si>
    <t xml:space="preserve">원료 배출 산정 기준</t>
  </si>
  <si>
    <r>
      <rPr>
        <sz val="10"/>
        <color rgb="FF000000"/>
        <rFont val="Noto Sans CJK SC"/>
        <family val="2"/>
      </rPr>
      <t xml:space="preserve">메탄 신규 공급량으로 계산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미반응 메탄 회수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재순환은 신규 공급량에 반영된 것으로 봄</t>
    </r>
  </si>
  <si>
    <t xml:space="preserve">CAT_ALLOC</t>
  </si>
  <si>
    <t xml:space="preserve">촉매 가정</t>
  </si>
  <si>
    <r>
      <rPr>
        <sz val="10"/>
        <color rgb="FF000000"/>
        <rFont val="Noto Sans CJK SC"/>
        <family val="2"/>
      </rPr>
      <t xml:space="preserve">실험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배분량</t>
    </r>
  </si>
  <si>
    <t xml:space="preserve">CAT_MASS / CAT_USES</t>
  </si>
  <si>
    <r>
      <rPr>
        <sz val="10"/>
        <color rgb="FF000000"/>
        <rFont val="Noto Sans CJK SC"/>
        <family val="2"/>
      </rPr>
      <t xml:space="preserve">촉매 사용량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최초 사용 포함 총 사용 횟수</t>
    </r>
  </si>
  <si>
    <t xml:space="preserve">CARBON_BASE</t>
  </si>
  <si>
    <t xml:space="preserve">고체탄소 가정</t>
  </si>
  <si>
    <t xml:space="preserve">기본</t>
  </si>
  <si>
    <t xml:space="preserve">부산물 공제 없음</t>
  </si>
  <si>
    <t xml:space="preserve">공정 부담 전량을 수소에 귀속</t>
  </si>
  <si>
    <t xml:space="preserve">CARBON_REF</t>
  </si>
  <si>
    <t xml:space="preserve">참고</t>
  </si>
  <si>
    <t xml:space="preserve">질량 배분</t>
  </si>
  <si>
    <r>
      <rPr>
        <sz val="10"/>
        <color rgb="FF000000"/>
        <rFont val="Noto Sans CJK SC"/>
        <family val="2"/>
      </rPr>
      <t xml:space="preserve">고체탄소 회수량</t>
    </r>
    <r>
      <rPr>
        <sz val="10"/>
        <color rgb="FF000000"/>
        <rFont val="Arial"/>
        <family val="0"/>
        <charset val="1"/>
      </rPr>
      <t xml:space="preserve">(C_REC)</t>
    </r>
    <r>
      <rPr>
        <sz val="10"/>
        <color rgb="FF000000"/>
        <rFont val="Noto Sans CJK SC"/>
        <family val="2"/>
      </rPr>
      <t xml:space="preserve">이 있을 때만 계산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수소 배분율 </t>
    </r>
    <r>
      <rPr>
        <sz val="10"/>
        <color rgb="FF000000"/>
        <rFont val="Arial"/>
        <family val="0"/>
        <charset val="1"/>
      </rPr>
      <t xml:space="preserve">= H2 ÷ (H2 + C_REC)</t>
    </r>
  </si>
  <si>
    <t xml:space="preserve">C_BALANCE_BASIS</t>
  </si>
  <si>
    <t xml:space="preserve">검사 기준</t>
  </si>
  <si>
    <t xml:space="preserve">탄소 점검 비교값</t>
  </si>
  <si>
    <t xml:space="preserve">C_REC + C_ACC</t>
  </si>
  <si>
    <r>
      <rPr>
        <sz val="10"/>
        <color rgb="FF000000"/>
        <rFont val="Noto Sans CJK SC"/>
        <family val="2"/>
      </rPr>
      <t xml:space="preserve">고체탄소 회수량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반응기 내 탄소 축적량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기록된 경우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이론 탄소량과 비교</t>
    </r>
  </si>
  <si>
    <t xml:space="preserve">CALC_TOL</t>
  </si>
  <si>
    <r>
      <rPr>
        <sz val="10"/>
        <color rgb="FF000000"/>
        <rFont val="Noto Sans CJK SC"/>
        <family val="2"/>
      </rPr>
      <t xml:space="preserve">계산 허용 오차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수작업 대비</t>
    </r>
    <r>
      <rPr>
        <sz val="10"/>
        <color rgb="FF000000"/>
        <rFont val="Arial"/>
        <family val="0"/>
        <charset val="1"/>
      </rPr>
      <t xml:space="preserve">)</t>
    </r>
  </si>
  <si>
    <t xml:space="preserve">상대오차</t>
  </si>
  <si>
    <r>
      <rPr>
        <sz val="10"/>
        <color rgb="FF000000"/>
        <rFont val="Noto Sans CJK SC"/>
        <family val="2"/>
      </rPr>
      <t xml:space="preserve">자동 계산과 수작업 기준 계산의 상대오차 </t>
    </r>
    <r>
      <rPr>
        <sz val="10"/>
        <color rgb="FF000000"/>
        <rFont val="Arial"/>
        <family val="0"/>
        <charset val="1"/>
      </rPr>
      <t xml:space="preserve">0.1% </t>
    </r>
    <r>
      <rPr>
        <sz val="10"/>
        <color rgb="FF000000"/>
        <rFont val="Noto Sans CJK SC"/>
        <family val="2"/>
      </rPr>
      <t xml:space="preserve">이내</t>
    </r>
  </si>
  <si>
    <t xml:space="preserve">STOICH_TOL</t>
  </si>
  <si>
    <t xml:space="preserve">화학양론 일관성 허용 범위</t>
  </si>
  <si>
    <r>
      <rPr>
        <sz val="10"/>
        <color rgb="FF000000"/>
        <rFont val="Noto Sans CJK SC"/>
        <family val="2"/>
      </rPr>
      <t xml:space="preserve">예시값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반응 메탄 기준 </t>
    </r>
    <r>
      <rPr>
        <sz val="10"/>
        <color rgb="FF000000"/>
        <rFont val="Arial"/>
        <family val="0"/>
        <charset val="1"/>
      </rPr>
      <t xml:space="preserve">H2·C </t>
    </r>
    <r>
      <rPr>
        <sz val="10"/>
        <color rgb="FF000000"/>
        <rFont val="Noto Sans CJK SC"/>
        <family val="2"/>
      </rPr>
      <t xml:space="preserve">이론량 대비 </t>
    </r>
    <r>
      <rPr>
        <sz val="10"/>
        <color rgb="FF000000"/>
        <rFont val="Arial"/>
        <family val="0"/>
        <charset val="1"/>
      </rPr>
      <t xml:space="preserve">±10% </t>
    </r>
    <r>
      <rPr>
        <sz val="10"/>
        <color rgb="FF000000"/>
        <rFont val="Noto Sans CJK SC"/>
        <family val="2"/>
      </rPr>
      <t xml:space="preserve">밖이면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확인 필요</t>
    </r>
    <r>
      <rPr>
        <sz val="10"/>
        <color rgb="FF000000"/>
        <rFont val="Arial"/>
        <family val="0"/>
        <charset val="1"/>
      </rPr>
      <t xml:space="preserve">'. </t>
    </r>
    <r>
      <rPr>
        <sz val="10"/>
        <color rgb="FF000000"/>
        <rFont val="Noto Sans CJK SC"/>
        <family val="2"/>
      </rPr>
      <t xml:space="preserve">실제 적용 시 측정 오차 수준에 맞춰 조정</t>
    </r>
  </si>
  <si>
    <t xml:space="preserve">ELEC_INTENSITY_MIN</t>
  </si>
  <si>
    <t xml:space="preserve">전력 원단위 하한</t>
  </si>
  <si>
    <t xml:space="preserve">kWh/kg-H2</t>
  </si>
  <si>
    <r>
      <rPr>
        <sz val="10"/>
        <color rgb="FF000000"/>
        <rFont val="Noto Sans CJK SC"/>
        <family val="2"/>
      </rPr>
      <t xml:space="preserve">예시값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배치 전체 전력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수소 생산량이 범위 밖이면 단위 오기 의심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확인 필요</t>
    </r>
    <r>
      <rPr>
        <sz val="10"/>
        <color rgb="FF000000"/>
        <rFont val="Arial"/>
        <family val="0"/>
        <charset val="1"/>
      </rPr>
      <t xml:space="preserve">'</t>
    </r>
  </si>
  <si>
    <t xml:space="preserve">ELEC_INTENSITY_MAX</t>
  </si>
  <si>
    <t xml:space="preserve">전력 원단위 상한</t>
  </si>
  <si>
    <r>
      <rPr>
        <sz val="10"/>
        <color rgb="FF000000"/>
        <rFont val="Noto Sans CJK SC"/>
        <family val="2"/>
      </rPr>
      <t xml:space="preserve">예시값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 적용 시 동일 장비 과거 실험 범위로 교체</t>
    </r>
  </si>
  <si>
    <t xml:space="preserve">RULE_MISSING</t>
  </si>
  <si>
    <t xml:space="preserve">검사 규칙</t>
  </si>
  <si>
    <t xml:space="preserve">필수값 누락</t>
  </si>
  <si>
    <r>
      <rPr>
        <sz val="10"/>
        <color rgb="FF000000"/>
        <rFont val="Noto Sans CJK SC"/>
        <family val="2"/>
      </rPr>
      <t xml:space="preserve">자료 부족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계산 보류</t>
    </r>
  </si>
  <si>
    <t xml:space="preserve">필요한 항목명과 측정 구간을 안내</t>
  </si>
  <si>
    <t xml:space="preserve">RULE_DUPLICATE</t>
  </si>
  <si>
    <t xml:space="preserve">중복 기록</t>
  </si>
  <si>
    <r>
      <rPr>
        <sz val="10"/>
        <color rgb="FF000000"/>
        <rFont val="Noto Sans CJK SC"/>
        <family val="2"/>
      </rPr>
      <t xml:space="preserve">확인 필요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계산 보류</t>
    </r>
  </si>
  <si>
    <r>
      <rPr>
        <sz val="10"/>
        <color rgb="FF000000"/>
        <rFont val="Noto Sans CJK SC"/>
        <family val="2"/>
      </rPr>
      <t xml:space="preserve">같은 실험</t>
    </r>
    <r>
      <rPr>
        <sz val="10"/>
        <color rgb="FF000000"/>
        <rFont val="Arial"/>
        <family val="0"/>
        <charset val="1"/>
      </rPr>
      <t xml:space="preserve">ID·</t>
    </r>
    <r>
      <rPr>
        <sz val="10"/>
        <color rgb="FF000000"/>
        <rFont val="Noto Sans CJK SC"/>
        <family val="2"/>
      </rPr>
      <t xml:space="preserve">구간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항목이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행 이상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자동 삭제하지 않음</t>
    </r>
  </si>
  <si>
    <t xml:space="preserve">RULE_H2_NONPOSITIVE</t>
  </si>
  <si>
    <r>
      <rPr>
        <sz val="10"/>
        <color rgb="FF000000"/>
        <rFont val="Noto Sans CJK SC"/>
        <family val="2"/>
      </rPr>
      <t xml:space="preserve">수소 생산량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이하</t>
    </r>
  </si>
  <si>
    <t xml:space="preserve">계산 불가</t>
  </si>
  <si>
    <r>
      <rPr>
        <sz val="10"/>
        <color rgb="FF000000"/>
        <rFont val="Noto Sans CJK SC"/>
        <family val="2"/>
      </rPr>
      <t xml:space="preserve">기능단위 환산 불가</t>
    </r>
    <r>
      <rPr>
        <sz val="10"/>
        <color rgb="FF000000"/>
        <rFont val="Arial"/>
        <family val="0"/>
        <charset val="1"/>
      </rPr>
      <t xml:space="preserve">(0</t>
    </r>
    <r>
      <rPr>
        <sz val="10"/>
        <color rgb="FF000000"/>
        <rFont val="Noto Sans CJK SC"/>
        <family val="2"/>
      </rPr>
      <t xml:space="preserve">으로 나누기 방지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사유 표시</t>
    </r>
  </si>
  <si>
    <t xml:space="preserve">RULE_ELEC_OUTLIER</t>
  </si>
  <si>
    <t xml:space="preserve">전력 원단위 범위 이탈</t>
  </si>
  <si>
    <r>
      <rPr>
        <sz val="10"/>
        <color rgb="FF000000"/>
        <rFont val="Noto Sans CJK SC"/>
        <family val="2"/>
      </rPr>
      <t xml:space="preserve">단위 오기 의심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원자료 대조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수정 후 재검사</t>
    </r>
  </si>
  <si>
    <t xml:space="preserve">ACK_ALLOWED</t>
  </si>
  <si>
    <t xml:space="preserve">연구자 확인 후 계산 진행이 허용되는 검사</t>
  </si>
  <si>
    <t xml:space="preserve">전력 원단위 이상치</t>
  </si>
  <si>
    <r>
      <rPr>
        <sz val="10"/>
        <color rgb="FF000000"/>
        <rFont val="Noto Sans CJK SC"/>
        <family val="2"/>
      </rPr>
      <t xml:space="preserve">원자료 대조로 값이 맞다고 확인된 경우에만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경고는 영수증에 그대로 남김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필수값 누락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중복 기록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단위 미인식은 확인 표시로 넘어갈 수 없음</t>
    </r>
  </si>
  <si>
    <t xml:space="preserve">RULE_RANGE</t>
  </si>
  <si>
    <r>
      <rPr>
        <sz val="10"/>
        <color rgb="FF000000"/>
        <rFont val="Noto Sans CJK SC"/>
        <family val="2"/>
      </rPr>
      <t xml:space="preserve">값 범위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물리 한계 위반</t>
    </r>
  </si>
  <si>
    <r>
      <rPr>
        <sz val="10"/>
        <color rgb="FF000000"/>
        <rFont val="Noto Sans CJK SC"/>
        <family val="2"/>
      </rPr>
      <t xml:space="preserve">음수 소비량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몰분율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온도 범위 밖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정수가 아닌 사용 횟수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투입보다 많은 미반응 메탄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수소 생산량에 비해 부족한 메탄 신규 공급량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등록되지 않은 구간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항목코드</t>
    </r>
  </si>
  <si>
    <t xml:space="preserve">RULE_EF_INVALID</t>
  </si>
  <si>
    <r>
      <rPr>
        <sz val="10"/>
        <color rgb="FF000000"/>
        <rFont val="Noto Sans CJK SC"/>
        <family val="2"/>
      </rPr>
      <t xml:space="preserve">배출계수 단위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중복 문제</t>
    </r>
  </si>
  <si>
    <r>
      <rPr>
        <sz val="10"/>
        <color rgb="FF000000"/>
        <rFont val="Noto Sans CJK SC"/>
        <family val="2"/>
      </rPr>
      <t xml:space="preserve">계수 단위의 분모가 활동량 표준단위와 다름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환산하지 않음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음수 계수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같은 버전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항목코드에 계수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이상</t>
    </r>
  </si>
  <si>
    <t xml:space="preserve">REQUIRED_ROWS</t>
  </si>
  <si>
    <r>
      <rPr>
        <sz val="10"/>
        <color rgb="FF000000"/>
        <rFont val="Noto Sans CJK SC"/>
        <family val="2"/>
      </rPr>
      <t xml:space="preserve">필수 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구간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항목코드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</si>
  <si>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:ELEC, </t>
    </r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:HEAT_EXT,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:CH4_NEW,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:TEMP,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:OP_TIME,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:ELEC,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:HEAT_EXT,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:H2_PROD,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:CAT_TYPE,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:CAT_MASS,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:CAT_USES,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:ELEC, 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Arial"/>
        <family val="0"/>
        <charset val="1"/>
      </rPr>
      <t xml:space="preserve">:HEAT_EXT</t>
    </r>
  </si>
  <si>
    <r>
      <rPr>
        <sz val="10"/>
        <color rgb="FF000000"/>
        <rFont val="Noto Sans CJK SC"/>
        <family val="2"/>
      </rPr>
      <t xml:space="preserve">입력 파일의 필수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선택 표시와 별도로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 목록의 행이 없거나 값이 비어 있으면 자료 부족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계산 보류</t>
    </r>
  </si>
  <si>
    <t xml:space="preserve">ALLOWED_SEGMENTS</t>
  </si>
  <si>
    <t xml:space="preserve">허용 구간</t>
  </si>
  <si>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중단</t>
    </r>
  </si>
  <si>
    <r>
      <rPr>
        <sz val="10"/>
        <color rgb="FF000000"/>
        <rFont val="Noto Sans CJK SC"/>
        <family val="2"/>
      </rPr>
      <t xml:space="preserve">다른 이름의 구간 행은 집계에서 빠지므로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확인 필요</t>
    </r>
    <r>
      <rPr>
        <sz val="10"/>
        <color rgb="FF000000"/>
        <rFont val="Arial"/>
        <family val="0"/>
        <charset val="1"/>
      </rPr>
      <t xml:space="preserve">'</t>
    </r>
  </si>
  <si>
    <t xml:space="preserve">NONNEG_CODES</t>
  </si>
  <si>
    <t xml:space="preserve">음수가 될 수 없는 항목코드</t>
  </si>
  <si>
    <t xml:space="preserve">ELEC, HEAT_EXT, CH4_NEW, CH4_IN, CH4_OUT, H2_PROD, C_REC, C_ACC, CAT_MASS, OP_TIME</t>
  </si>
  <si>
    <r>
      <rPr>
        <sz val="10"/>
        <color rgb="FF000000"/>
        <rFont val="Noto Sans CJK SC"/>
        <family val="2"/>
      </rPr>
      <t xml:space="preserve">질량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에너지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시간 항목</t>
    </r>
    <r>
      <rPr>
        <sz val="10"/>
        <color rgb="FF000000"/>
        <rFont val="Arial"/>
        <family val="0"/>
        <charset val="1"/>
      </rPr>
      <t xml:space="preserve">. 0</t>
    </r>
    <r>
      <rPr>
        <sz val="10"/>
        <color rgb="FF000000"/>
        <rFont val="Noto Sans CJK SC"/>
        <family val="2"/>
      </rPr>
      <t xml:space="preserve">은 허용</t>
    </r>
  </si>
  <si>
    <t xml:space="preserve">INT_MIN1_CODES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</si>
  <si>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이상의 정수여야 하는 항목코드</t>
    </r>
  </si>
  <si>
    <t xml:space="preserve">POSITIVE_ROWS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</si>
  <si>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보다 커야 하는 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구간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항목코드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</si>
  <si>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:OP_TIME</t>
    </r>
  </si>
  <si>
    <r>
      <rPr>
        <sz val="10"/>
        <color rgb="FF000000"/>
        <rFont val="Noto Sans CJK SC"/>
        <family val="2"/>
      </rPr>
      <t xml:space="preserve">수소가 생산된 반응 구간의 운전시간이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이면 기록 오류로 봄</t>
    </r>
  </si>
  <si>
    <t xml:space="preserve">SUM_MAX_X</t>
  </si>
  <si>
    <r>
      <rPr>
        <sz val="10"/>
        <color rgb="FF000000"/>
        <rFont val="Noto Sans CJK SC"/>
        <family val="2"/>
      </rPr>
      <t xml:space="preserve">몰분율 합 상한</t>
    </r>
    <r>
      <rPr>
        <sz val="10"/>
        <color rgb="FF000000"/>
        <rFont val="Arial"/>
        <family val="0"/>
        <charset val="1"/>
      </rPr>
      <t xml:space="preserve">(X_CH4 + X_H2)</t>
    </r>
  </si>
  <si>
    <r>
      <rPr>
        <sz val="10"/>
        <color rgb="FF000000"/>
        <rFont val="Noto Sans CJK SC"/>
        <family val="2"/>
      </rPr>
      <t xml:space="preserve">출구 가스 성분 몰분율의 합은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을 넘을 수 없음</t>
    </r>
  </si>
  <si>
    <t xml:space="preserve">RANGE_X_CH4</t>
  </si>
  <si>
    <t xml:space="preserve">0~1</t>
  </si>
  <si>
    <t xml:space="preserve">몰분율 허용 범위</t>
  </si>
  <si>
    <t xml:space="preserve">RANGE_X_H2</t>
  </si>
  <si>
    <t xml:space="preserve">RANGE_H2_PURITY</t>
  </si>
  <si>
    <r>
      <rPr>
        <sz val="10"/>
        <color rgb="FF000000"/>
        <rFont val="Noto Sans CJK SC"/>
        <family val="2"/>
      </rPr>
      <t xml:space="preserve">표준단위</t>
    </r>
    <r>
      <rPr>
        <sz val="10"/>
        <color rgb="FF000000"/>
        <rFont val="Arial"/>
        <family val="0"/>
        <charset val="1"/>
      </rPr>
      <t xml:space="preserve">(mol/mol) </t>
    </r>
    <r>
      <rPr>
        <sz val="10"/>
        <color rgb="FF000000"/>
        <rFont val="Noto Sans CJK SC"/>
        <family val="2"/>
      </rPr>
      <t xml:space="preserve">환산 후 허용 범위</t>
    </r>
  </si>
  <si>
    <t xml:space="preserve">RANGE_TEMP</t>
  </si>
  <si>
    <t xml:space="preserve">0~1500</t>
  </si>
  <si>
    <r>
      <rPr>
        <sz val="10"/>
        <color rgb="FF000000"/>
        <rFont val="Noto Sans CJK SC"/>
        <family val="2"/>
      </rPr>
      <t xml:space="preserve">예시값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메탄 열분해 실험의 반응온도로 볼 수 있는 범위</t>
    </r>
  </si>
  <si>
    <t xml:space="preserve">CH4_BALANCE_RULE</t>
  </si>
  <si>
    <t xml:space="preserve">메탄 질량 관계</t>
  </si>
  <si>
    <t xml:space="preserve">CH4_OUT ≤ CH4_IN; CH4_NEW ≥ H2_PROD×M_CH4÷(2×M_H2)×(1−STOICH_TOL)</t>
  </si>
  <si>
    <r>
      <rPr>
        <sz val="10"/>
        <color rgb="FF000000"/>
        <rFont val="Noto Sans CJK SC"/>
        <family val="2"/>
      </rPr>
      <t xml:space="preserve">미반응 메탄이 투입량보다 많거나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메탄 신규 공급량이 보고된 수소를 만들 수 있는 이론 최소량보다 적으면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확인 필요</t>
    </r>
    <r>
      <rPr>
        <sz val="10"/>
        <color rgb="FF000000"/>
        <rFont val="Arial"/>
        <family val="0"/>
        <charset val="1"/>
      </rPr>
      <t xml:space="preserve">'</t>
    </r>
  </si>
  <si>
    <t xml:space="preserve">EFU_ELEC</t>
  </si>
  <si>
    <t xml:space="preserve">배출계수 단위</t>
  </si>
  <si>
    <t xml:space="preserve">kgCO2-eq/kWh</t>
  </si>
  <si>
    <r>
      <rPr>
        <sz val="10"/>
        <color rgb="FF000000"/>
        <rFont val="Noto Sans CJK SC"/>
        <family val="2"/>
      </rPr>
      <t xml:space="preserve">활동량 표준단위</t>
    </r>
    <r>
      <rPr>
        <sz val="10"/>
        <color rgb="FF000000"/>
        <rFont val="Arial"/>
        <family val="0"/>
        <charset val="1"/>
      </rPr>
      <t xml:space="preserve">(kWh)</t>
    </r>
    <r>
      <rPr>
        <sz val="10"/>
        <color rgb="FF000000"/>
        <rFont val="Noto Sans CJK SC"/>
        <family val="2"/>
      </rPr>
      <t xml:space="preserve">에 맞는 계수 단위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다르면 자동 환산하지 않고 보류</t>
    </r>
  </si>
  <si>
    <t xml:space="preserve">EFU_HEAT_EXT</t>
  </si>
  <si>
    <t xml:space="preserve">kgCO2-eq/MJ</t>
  </si>
  <si>
    <t xml:space="preserve">EFU_CH4_NEW</t>
  </si>
  <si>
    <t xml:space="preserve">kgCO2-eq/kg-CH4</t>
  </si>
  <si>
    <t xml:space="preserve">EFU_CAT_MASS</t>
  </si>
  <si>
    <r>
      <rPr>
        <sz val="10"/>
        <color rgb="FF000000"/>
        <rFont val="Arial"/>
        <family val="0"/>
        <charset val="1"/>
      </rPr>
      <t xml:space="preserve">kgCO2-eq/kg-</t>
    </r>
    <r>
      <rPr>
        <sz val="10"/>
        <color rgb="FF000000"/>
        <rFont val="Noto Sans CJK SC"/>
        <family val="2"/>
      </rPr>
      <t xml:space="preserve">촉매</t>
    </r>
  </si>
  <si>
    <t xml:space="preserve">RULE_STOICH</t>
  </si>
  <si>
    <t xml:space="preserve">화학양론 불일치</t>
  </si>
  <si>
    <r>
      <rPr>
        <sz val="10"/>
        <color rgb="FF000000"/>
        <rFont val="Noto Sans CJK SC"/>
        <family val="2"/>
      </rPr>
      <t xml:space="preserve">확인 필요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계산 수행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경고 표시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</si>
  <si>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가능 원인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입력 오류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반응기 내 축적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미측정 유출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영수증에 표시</t>
    </r>
  </si>
  <si>
    <t xml:space="preserve">RULE_UNIT_UNKNOWN</t>
  </si>
  <si>
    <t xml:space="preserve">인식할 수 없는 단위</t>
  </si>
  <si>
    <t xml:space="preserve">단위환산표에 없거나 표준단위와 차원이 다른 단위</t>
  </si>
  <si>
    <t xml:space="preserve">RULE_EF_MISSING</t>
  </si>
  <si>
    <t xml:space="preserve">배출계수 없음</t>
  </si>
  <si>
    <r>
      <rPr>
        <sz val="10"/>
        <color rgb="FF000000"/>
        <rFont val="Noto Sans CJK SC"/>
        <family val="2"/>
      </rPr>
      <t xml:space="preserve">적용 버전의 배출계수 중 항목코드에 맞는 계수가 없음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촉매 종류</t>
    </r>
    <r>
      <rPr>
        <sz val="10"/>
        <color rgb="FF000000"/>
        <rFont val="Arial"/>
        <family val="0"/>
        <charset val="1"/>
      </rPr>
      <t xml:space="preserve">)</t>
    </r>
  </si>
  <si>
    <t xml:space="preserve">STD_OP_TIME</t>
  </si>
  <si>
    <t xml:space="preserve">표준단위</t>
  </si>
  <si>
    <r>
      <rPr>
        <sz val="10"/>
        <color rgb="FF000000"/>
        <rFont val="Noto Sans CJK SC"/>
        <family val="2"/>
      </rPr>
      <t xml:space="preserve">항목코드별 표준단위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입력단위가 이와 다르면 단위환산표로 환산</t>
    </r>
  </si>
  <si>
    <t xml:space="preserve">STD_ELEC</t>
  </si>
  <si>
    <t xml:space="preserve">STD_HEAT_EXT</t>
  </si>
  <si>
    <t xml:space="preserve">STD_CH4_NEW</t>
  </si>
  <si>
    <t xml:space="preserve">STD_CH4_IN</t>
  </si>
  <si>
    <t xml:space="preserve">STD_CH4_OUT</t>
  </si>
  <si>
    <t xml:space="preserve">STD_X_CH4</t>
  </si>
  <si>
    <t xml:space="preserve">STD_X_H2</t>
  </si>
  <si>
    <t xml:space="preserve">STD_TEMP</t>
  </si>
  <si>
    <t xml:space="preserve">STD_H2_PROD</t>
  </si>
  <si>
    <t xml:space="preserve">STD_H2_PURITY</t>
  </si>
  <si>
    <t xml:space="preserve">STD_C_REC</t>
  </si>
  <si>
    <t xml:space="preserve">STD_C_ACC</t>
  </si>
  <si>
    <t xml:space="preserve">STD_CAT_TYPE</t>
  </si>
  <si>
    <t xml:space="preserve">STD_CAT_MASS</t>
  </si>
  <si>
    <t xml:space="preserve">STD_CAT_USES</t>
  </si>
  <si>
    <t xml:space="preserve">M_CH4</t>
  </si>
  <si>
    <t xml:space="preserve">물성</t>
  </si>
  <si>
    <r>
      <rPr>
        <sz val="10"/>
        <color rgb="FF000000"/>
        <rFont val="Arial"/>
        <family val="0"/>
        <charset val="1"/>
      </rPr>
      <t xml:space="preserve">CH4 </t>
    </r>
    <r>
      <rPr>
        <sz val="10"/>
        <color rgb="FF000000"/>
        <rFont val="Noto Sans CJK SC"/>
        <family val="2"/>
      </rPr>
      <t xml:space="preserve">몰질량</t>
    </r>
  </si>
  <si>
    <t xml:space="preserve">g/mol</t>
  </si>
  <si>
    <t xml:space="preserve">화학양론 이론량 계산용</t>
  </si>
  <si>
    <t xml:space="preserve">M_H2</t>
  </si>
  <si>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몰질량</t>
    </r>
  </si>
  <si>
    <t xml:space="preserve">M_C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</si>
  <si>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몰질량</t>
    </r>
  </si>
  <si>
    <t xml:space="preserve">UNIT_Wh</t>
  </si>
  <si>
    <t xml:space="preserve">단위환산</t>
  </si>
  <si>
    <t xml:space="preserve">Wh</t>
  </si>
  <si>
    <t xml:space="preserve">입력단위 → 표준단위 곱하는 값</t>
  </si>
  <si>
    <t xml:space="preserve">UNIT_kWh</t>
  </si>
  <si>
    <t xml:space="preserve">UNIT_MWh</t>
  </si>
  <si>
    <t xml:space="preserve">MWh</t>
  </si>
  <si>
    <t xml:space="preserve">UNIT_g</t>
  </si>
  <si>
    <t xml:space="preserve">g</t>
  </si>
  <si>
    <t xml:space="preserve">UNIT_kg</t>
  </si>
  <si>
    <t xml:space="preserve">UNIT_mg</t>
  </si>
  <si>
    <t xml:space="preserve">mg</t>
  </si>
  <si>
    <t xml:space="preserve">UNIT_kJ</t>
  </si>
  <si>
    <t xml:space="preserve">kJ</t>
  </si>
  <si>
    <t xml:space="preserve">UNIT_MJ</t>
  </si>
  <si>
    <t xml:space="preserve">UNIT_min</t>
  </si>
  <si>
    <t xml:space="preserve">min</t>
  </si>
  <si>
    <t xml:space="preserve">UNIT_h</t>
  </si>
  <si>
    <t xml:space="preserve">UNIT_molpct</t>
  </si>
  <si>
    <t xml:space="preserve">몰분율 입력 시</t>
  </si>
  <si>
    <t xml:space="preserve">UNIT_molmol</t>
  </si>
  <si>
    <r>
      <rPr>
        <b val="true"/>
        <sz val="10"/>
        <color rgb="FFFFFFFF"/>
        <rFont val="Noto Sans CJK SC"/>
        <family val="2"/>
      </rPr>
      <t xml:space="preserve">계수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</si>
  <si>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대상</t>
  </si>
  <si>
    <t xml:space="preserve">출처</t>
  </si>
  <si>
    <t xml:space="preserve">기준연도</t>
  </si>
  <si>
    <t xml:space="preserve">적용 조건</t>
  </si>
  <si>
    <t xml:space="preserve">적용 항목코드</t>
  </si>
  <si>
    <t xml:space="preserve">EF-ELEC-01</t>
  </si>
  <si>
    <r>
      <rPr>
        <sz val="10"/>
        <color rgb="FF000000"/>
        <rFont val="Noto Sans CJK SC"/>
        <family val="2"/>
      </rPr>
      <t xml:space="preserve">전력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계통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</si>
  <si>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Noto Sans CJK SC"/>
        <family val="2"/>
      </rPr>
      <t xml:space="preserve">예시값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시연용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Noto Sans CJK SC"/>
        <family val="2"/>
      </rPr>
      <t xml:space="preserve">출처 아님</t>
    </r>
    <r>
      <rPr>
        <sz val="10"/>
        <color rgb="FFC00000"/>
        <rFont val="Arial"/>
        <family val="0"/>
        <charset val="1"/>
      </rPr>
      <t xml:space="preserve">). </t>
    </r>
    <r>
      <rPr>
        <sz val="10"/>
        <color rgb="FFC00000"/>
        <rFont val="Noto Sans CJK SC"/>
        <family val="2"/>
      </rPr>
      <t xml:space="preserve">실제 적용 시 확인할 출처 종류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국가 고시 전력 배출계수 또는 </t>
    </r>
    <r>
      <rPr>
        <sz val="10"/>
        <color rgb="FFC00000"/>
        <rFont val="Arial"/>
        <family val="0"/>
        <charset val="1"/>
      </rPr>
      <t xml:space="preserve">LCA DB</t>
    </r>
    <r>
      <rPr>
        <sz val="10"/>
        <color rgb="FFC00000"/>
        <rFont val="Noto Sans CJK SC"/>
        <family val="2"/>
      </rPr>
      <t xml:space="preserve">의 국가 전력 믹스 공정</t>
    </r>
  </si>
  <si>
    <r>
      <rPr>
        <sz val="10"/>
        <color rgb="FF000000"/>
        <rFont val="Noto Sans CJK SC"/>
        <family val="2"/>
      </rPr>
      <t xml:space="preserve">미정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</si>
  <si>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연구실 계통전력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승온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중단 전 구간 전력에 적용</t>
    </r>
  </si>
  <si>
    <r>
      <rPr>
        <sz val="10"/>
        <color rgb="FF000000"/>
        <rFont val="Noto Sans CJK SC"/>
        <family val="2"/>
      </rPr>
      <t xml:space="preserve">모든 값은 시연용 예시값이며 공식 배출계수가 아니다</t>
    </r>
    <r>
      <rPr>
        <sz val="10"/>
        <color rgb="FF000000"/>
        <rFont val="Arial"/>
        <family val="0"/>
        <charset val="1"/>
      </rPr>
      <t xml:space="preserve">.</t>
    </r>
  </si>
  <si>
    <t xml:space="preserve">EF-HEAT-01</t>
  </si>
  <si>
    <r>
      <rPr>
        <sz val="10"/>
        <color rgb="FFC00000"/>
        <rFont val="Noto Sans CJK SC"/>
        <family val="2"/>
      </rPr>
      <t xml:space="preserve">예시값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시연용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Noto Sans CJK SC"/>
        <family val="2"/>
      </rPr>
      <t xml:space="preserve">출처 아님</t>
    </r>
    <r>
      <rPr>
        <sz val="10"/>
        <color rgb="FFC00000"/>
        <rFont val="Arial"/>
        <family val="0"/>
        <charset val="1"/>
      </rPr>
      <t xml:space="preserve">). </t>
    </r>
    <r>
      <rPr>
        <sz val="10"/>
        <color rgb="FFC00000"/>
        <rFont val="Noto Sans CJK SC"/>
        <family val="2"/>
      </rPr>
      <t xml:space="preserve">실제 적용 시 확인할 출처 종류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열원 연료의 연소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Noto Sans CJK SC"/>
        <family val="2"/>
      </rPr>
      <t xml:space="preserve">상류 배출계수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국가 고유계수 또는 </t>
    </r>
    <r>
      <rPr>
        <sz val="10"/>
        <color rgb="FFC00000"/>
        <rFont val="Arial"/>
        <family val="0"/>
        <charset val="1"/>
      </rPr>
      <t xml:space="preserve">LCA DB)</t>
    </r>
  </si>
  <si>
    <r>
      <rPr>
        <sz val="10"/>
        <color rgb="FF000000"/>
        <rFont val="Noto Sans CJK SC"/>
        <family val="2"/>
      </rPr>
      <t xml:space="preserve">외부 공급열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일 때만 적용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열원 종류별로 계수 분리 필요</t>
    </r>
  </si>
  <si>
    <r>
      <rPr>
        <sz val="10"/>
        <color rgb="FF000000"/>
        <rFont val="Noto Sans CJK SC"/>
        <family val="2"/>
      </rPr>
      <t xml:space="preserve">실제 적용 시 출처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기준연도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적용 지역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공급 경로를 확인한 계수로 교체하고 버전을 올린다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EF-v1.0).</t>
    </r>
  </si>
  <si>
    <t xml:space="preserve">EF-CH4-01</t>
  </si>
  <si>
    <r>
      <rPr>
        <sz val="10"/>
        <color rgb="FF000000"/>
        <rFont val="Noto Sans CJK SC"/>
        <family val="2"/>
      </rPr>
      <t xml:space="preserve">메탄 생산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공급</t>
    </r>
  </si>
  <si>
    <r>
      <rPr>
        <sz val="10"/>
        <color rgb="FFC00000"/>
        <rFont val="Noto Sans CJK SC"/>
        <family val="2"/>
      </rPr>
      <t xml:space="preserve">예시값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시연용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Noto Sans CJK SC"/>
        <family val="2"/>
      </rPr>
      <t xml:space="preserve">출처 아님</t>
    </r>
    <r>
      <rPr>
        <sz val="10"/>
        <color rgb="FFC00000"/>
        <rFont val="Arial"/>
        <family val="0"/>
        <charset val="1"/>
      </rPr>
      <t xml:space="preserve">). </t>
    </r>
    <r>
      <rPr>
        <sz val="10"/>
        <color rgb="FFC00000"/>
        <rFont val="Noto Sans CJK SC"/>
        <family val="2"/>
      </rPr>
      <t xml:space="preserve">실제 적용 시 확인할 출처 종류</t>
    </r>
    <r>
      <rPr>
        <sz val="10"/>
        <color rgb="FFC00000"/>
        <rFont val="Arial"/>
        <family val="0"/>
        <charset val="1"/>
      </rPr>
      <t xml:space="preserve">: LCA DB</t>
    </r>
    <r>
      <rPr>
        <sz val="10"/>
        <color rgb="FFC00000"/>
        <rFont val="Noto Sans CJK SC"/>
        <family val="2"/>
      </rPr>
      <t xml:space="preserve">의 천연가스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배관</t>
    </r>
    <r>
      <rPr>
        <sz val="10"/>
        <color rgb="FFC00000"/>
        <rFont val="Arial"/>
        <family val="0"/>
        <charset val="1"/>
      </rPr>
      <t xml:space="preserve">/LNG) </t>
    </r>
    <r>
      <rPr>
        <sz val="10"/>
        <color rgb="FFC00000"/>
        <rFont val="Noto Sans CJK SC"/>
        <family val="2"/>
      </rPr>
      <t xml:space="preserve">공급 공정 또는 실험용 고순도 메탄 제조 공정</t>
    </r>
  </si>
  <si>
    <r>
      <rPr>
        <sz val="10"/>
        <color rgb="FF000000"/>
        <rFont val="Noto Sans CJK SC"/>
        <family val="2"/>
      </rPr>
      <t xml:space="preserve">공급 경로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배관</t>
    </r>
    <r>
      <rPr>
        <sz val="10"/>
        <color rgb="FF000000"/>
        <rFont val="Arial"/>
        <family val="0"/>
        <charset val="1"/>
      </rPr>
      <t xml:space="preserve">·LNG·</t>
    </r>
    <r>
      <rPr>
        <sz val="10"/>
        <color rgb="FF000000"/>
        <rFont val="Noto Sans CJK SC"/>
        <family val="2"/>
      </rPr>
      <t xml:space="preserve">고압용기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가정을 명시해야 함</t>
    </r>
  </si>
  <si>
    <r>
      <rPr>
        <sz val="10"/>
        <color rgb="FF000000"/>
        <rFont val="Noto Sans CJK SC"/>
        <family val="2"/>
      </rPr>
      <t xml:space="preserve">적용 항목코드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계산 엔진이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실험기록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의 항목코드와 연결하는 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촉매는 </t>
    </r>
    <r>
      <rPr>
        <sz val="10"/>
        <color rgb="FF000000"/>
        <rFont val="Arial"/>
        <family val="0"/>
        <charset val="1"/>
      </rPr>
      <t xml:space="preserve">'CAT_MASS:</t>
    </r>
    <r>
      <rPr>
        <sz val="10"/>
        <color rgb="FF000000"/>
        <rFont val="Noto Sans CJK SC"/>
        <family val="2"/>
      </rPr>
      <t xml:space="preserve">촉매종류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형식</t>
    </r>
    <r>
      <rPr>
        <sz val="10"/>
        <color rgb="FF000000"/>
        <rFont val="Arial"/>
        <family val="0"/>
        <charset val="1"/>
      </rPr>
      <t xml:space="preserve">.</t>
    </r>
  </si>
  <si>
    <t xml:space="preserve">EF-CAT-FE</t>
  </si>
  <si>
    <r>
      <rPr>
        <sz val="10"/>
        <color rgb="FF000000"/>
        <rFont val="Noto Sans CJK SC"/>
        <family val="2"/>
      </rPr>
      <t xml:space="preserve">촉매</t>
    </r>
    <r>
      <rPr>
        <sz val="10"/>
        <color rgb="FF000000"/>
        <rFont val="Arial"/>
        <family val="0"/>
        <charset val="1"/>
      </rPr>
      <t xml:space="preserve">(Fe)</t>
    </r>
  </si>
  <si>
    <r>
      <rPr>
        <sz val="10"/>
        <color rgb="FFC00000"/>
        <rFont val="Noto Sans CJK SC"/>
        <family val="2"/>
      </rPr>
      <t xml:space="preserve">예시값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시연용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Noto Sans CJK SC"/>
        <family val="2"/>
      </rPr>
      <t xml:space="preserve">출처 아님</t>
    </r>
    <r>
      <rPr>
        <sz val="10"/>
        <color rgb="FFC00000"/>
        <rFont val="Arial"/>
        <family val="0"/>
        <charset val="1"/>
      </rPr>
      <t xml:space="preserve">). </t>
    </r>
    <r>
      <rPr>
        <sz val="10"/>
        <color rgb="FFC00000"/>
        <rFont val="Noto Sans CJK SC"/>
        <family val="2"/>
      </rPr>
      <t xml:space="preserve">실제 적용 시 확인할 출처 종류</t>
    </r>
    <r>
      <rPr>
        <sz val="10"/>
        <color rgb="FFC00000"/>
        <rFont val="Arial"/>
        <family val="0"/>
        <charset val="1"/>
      </rPr>
      <t xml:space="preserve">: LCA DB</t>
    </r>
    <r>
      <rPr>
        <sz val="10"/>
        <color rgb="FFC00000"/>
        <rFont val="Noto Sans CJK SC"/>
        <family val="2"/>
      </rPr>
      <t xml:space="preserve">의 철 또는 해당 촉매 제조 공정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전구체</t>
    </r>
    <r>
      <rPr>
        <sz val="10"/>
        <color rgb="FFC00000"/>
        <rFont val="Arial"/>
        <family val="0"/>
        <charset val="1"/>
      </rPr>
      <t xml:space="preserve">·</t>
    </r>
    <r>
      <rPr>
        <sz val="10"/>
        <color rgb="FFC00000"/>
        <rFont val="Noto Sans CJK SC"/>
        <family val="2"/>
      </rPr>
      <t xml:space="preserve">담체 포함 여부 확인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</si>
  <si>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촉매 종류 </t>
    </r>
    <r>
      <rPr>
        <sz val="10"/>
        <color rgb="FF000000"/>
        <rFont val="Arial"/>
        <family val="0"/>
        <charset val="1"/>
      </rPr>
      <t xml:space="preserve">= Fe</t>
    </r>
    <r>
      <rPr>
        <sz val="10"/>
        <color rgb="FF000000"/>
        <rFont val="Noto Sans CJK SC"/>
        <family val="2"/>
      </rPr>
      <t xml:space="preserve">일 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배분량에 적용</t>
    </r>
  </si>
  <si>
    <t xml:space="preserve">CAT_MASS:Fe</t>
  </si>
  <si>
    <r>
      <rPr>
        <sz val="10"/>
        <color rgb="FF000000"/>
        <rFont val="Noto Sans CJK SC"/>
        <family val="2"/>
      </rPr>
      <t xml:space="preserve">계산설정의 </t>
    </r>
    <r>
      <rPr>
        <sz val="10"/>
        <color rgb="FF000000"/>
        <rFont val="Arial"/>
        <family val="0"/>
        <charset val="1"/>
      </rPr>
      <t xml:space="preserve">EF_VERSION</t>
    </r>
    <r>
      <rPr>
        <sz val="10"/>
        <color rgb="FF000000"/>
        <rFont val="Noto Sans CJK SC"/>
        <family val="2"/>
      </rPr>
      <t xml:space="preserve">과 버전이 같은 행만 사용한다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</si>
  <si>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EXP-800</t>
  </si>
  <si>
    <r>
      <rPr>
        <sz val="10"/>
        <color rgb="FF000000"/>
        <rFont val="Noto Sans CJK SC"/>
        <family val="2"/>
      </rPr>
      <t xml:space="preserve">가상 실험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(EXP-800, 800℃, Fe </t>
    </r>
    <r>
      <rPr>
        <sz val="10"/>
        <color rgb="FF000000"/>
        <rFont val="Noto Sans CJK SC"/>
        <family val="2"/>
      </rPr>
      <t xml:space="preserve">촉매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의 작성 예시다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 측정값이 아니다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</si>
  <si>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단위는 일부러 </t>
    </r>
    <r>
      <rPr>
        <sz val="10"/>
        <color rgb="FF000000"/>
        <rFont val="Arial"/>
        <family val="0"/>
        <charset val="1"/>
      </rPr>
      <t xml:space="preserve">Wh·g·kg</t>
    </r>
    <r>
      <rPr>
        <sz val="10"/>
        <color rgb="FF000000"/>
        <rFont val="Noto Sans CJK SC"/>
        <family val="2"/>
      </rPr>
      <t xml:space="preserve">를 섞어 적었다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단위 환산 확인용</t>
    </r>
    <r>
      <rPr>
        <sz val="10"/>
        <color rgb="FF000000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</si>
  <si>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정합성 검산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수식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</si>
  <si>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반응 메탄량 </t>
    </r>
    <r>
      <rPr>
        <sz val="10"/>
        <color rgb="FF000000"/>
        <rFont val="Arial"/>
        <family val="0"/>
        <charset val="1"/>
      </rPr>
      <t xml:space="preserve">(kg) = </t>
    </r>
    <r>
      <rPr>
        <sz val="10"/>
        <color rgb="FF000000"/>
        <rFont val="Noto Sans CJK SC"/>
        <family val="2"/>
      </rPr>
      <t xml:space="preserve">투입 − 배출</t>
    </r>
  </si>
  <si>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이론량 </t>
    </r>
    <r>
      <rPr>
        <sz val="10"/>
        <color rgb="FF000000"/>
        <rFont val="Arial"/>
        <family val="0"/>
        <charset val="1"/>
      </rPr>
      <t xml:space="preserve">(kg) = </t>
    </r>
    <r>
      <rPr>
        <sz val="10"/>
        <color rgb="FF000000"/>
        <rFont val="Noto Sans CJK SC"/>
        <family val="2"/>
      </rPr>
      <t xml:space="preserve">반응 메탄 </t>
    </r>
    <r>
      <rPr>
        <sz val="10"/>
        <color rgb="FF000000"/>
        <rFont val="Arial"/>
        <family val="0"/>
        <charset val="1"/>
      </rPr>
      <t xml:space="preserve">× 2×M_H2/M_CH4</t>
    </r>
  </si>
  <si>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기록값 </t>
    </r>
    <r>
      <rPr>
        <sz val="10"/>
        <color rgb="FF000000"/>
        <rFont val="Arial"/>
        <family val="0"/>
        <charset val="1"/>
      </rPr>
      <t xml:space="preserve">(kg)</t>
    </r>
  </si>
  <si>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기록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이론</t>
    </r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</si>
  <si>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이론량 </t>
    </r>
    <r>
      <rPr>
        <sz val="10"/>
        <color rgb="FF000000"/>
        <rFont val="Arial"/>
        <family val="0"/>
        <charset val="1"/>
      </rPr>
      <t xml:space="preserve">(kg) = </t>
    </r>
    <r>
      <rPr>
        <sz val="10"/>
        <color rgb="FF000000"/>
        <rFont val="Noto Sans CJK SC"/>
        <family val="2"/>
      </rPr>
      <t xml:space="preserve">반응 메탄 </t>
    </r>
    <r>
      <rPr>
        <sz val="10"/>
        <color rgb="FF000000"/>
        <rFont val="Arial"/>
        <family val="0"/>
        <charset val="1"/>
      </rPr>
      <t xml:space="preserve">× M_C/M_CH4</t>
    </r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</si>
  <si>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기록값 </t>
    </r>
    <r>
      <rPr>
        <sz val="10"/>
        <color rgb="FF000000"/>
        <rFont val="Arial"/>
        <family val="0"/>
        <charset val="1"/>
      </rPr>
      <t xml:space="preserve">(kg) = </t>
    </r>
    <r>
      <rPr>
        <sz val="10"/>
        <color rgb="FF000000"/>
        <rFont val="Noto Sans CJK SC"/>
        <family val="2"/>
      </rPr>
      <t xml:space="preserve">회수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축적</t>
    </r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</si>
  <si>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기록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이론</t>
    </r>
  </si>
  <si>
    <r>
      <rPr>
        <sz val="10"/>
        <color rgb="FF000000"/>
        <rFont val="Noto Sans CJK SC"/>
        <family val="2"/>
      </rPr>
      <t xml:space="preserve">배치 전체 전력 </t>
    </r>
    <r>
      <rPr>
        <sz val="10"/>
        <color rgb="FF000000"/>
        <rFont val="Arial"/>
        <family val="0"/>
        <charset val="1"/>
      </rPr>
      <t xml:space="preserve">(kWh)</t>
    </r>
  </si>
  <si>
    <r>
      <rPr>
        <sz val="10"/>
        <color rgb="FF000000"/>
        <rFont val="Noto Sans CJK SC"/>
        <family val="2"/>
      </rPr>
      <t xml:space="preserve">전력 원단위 </t>
    </r>
    <r>
      <rPr>
        <sz val="10"/>
        <color rgb="FF000000"/>
        <rFont val="Arial"/>
        <family val="0"/>
        <charset val="1"/>
      </rPr>
      <t xml:space="preserve">(kWh/kg-H2), </t>
    </r>
    <r>
      <rPr>
        <sz val="10"/>
        <color rgb="FF000000"/>
        <rFont val="Noto Sans CJK SC"/>
        <family val="2"/>
      </rPr>
      <t xml:space="preserve">배치 전체</t>
    </r>
  </si>
  <si>
    <r>
      <rPr>
        <sz val="10"/>
        <color rgb="FF000000"/>
        <rFont val="Noto Sans CJK SC"/>
        <family val="2"/>
      </rPr>
      <t xml:space="preserve">전력 원단위 </t>
    </r>
    <r>
      <rPr>
        <sz val="10"/>
        <color rgb="FF000000"/>
        <rFont val="Arial"/>
        <family val="0"/>
        <charset val="1"/>
      </rPr>
      <t xml:space="preserve">(kWh/kg-H2), </t>
    </r>
    <r>
      <rPr>
        <sz val="10"/>
        <color rgb="FF000000"/>
        <rFont val="Noto Sans CJK SC"/>
        <family val="2"/>
      </rPr>
      <t xml:space="preserve">반응 구간</t>
    </r>
  </si>
  <si>
    <r>
      <rPr>
        <sz val="10"/>
        <color rgb="FF000000"/>
        <rFont val="Noto Sans CJK SC"/>
        <family val="2"/>
      </rPr>
      <t xml:space="preserve">촉매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배분량 </t>
    </r>
    <r>
      <rPr>
        <sz val="10"/>
        <color rgb="FF000000"/>
        <rFont val="Arial"/>
        <family val="0"/>
        <charset val="1"/>
      </rPr>
      <t xml:space="preserve">(kg)</t>
    </r>
  </si>
  <si>
    <r>
      <rPr>
        <sz val="10"/>
        <color rgb="FF000000"/>
        <rFont val="Noto Sans CJK SC"/>
        <family val="2"/>
      </rPr>
      <t xml:space="preserve">신규 메탄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반응 메탄 여부</t>
    </r>
  </si>
  <si>
    <t xml:space="preserve">Fe</t>
  </si>
  <si>
    <r>
      <rPr>
        <sz val="10"/>
        <color rgb="FF000000"/>
        <rFont val="Noto Sans CJK SC"/>
        <family val="2"/>
      </rPr>
      <t xml:space="preserve">출구 몰분율 합</t>
    </r>
    <r>
      <rPr>
        <sz val="10"/>
        <color rgb="FF000000"/>
        <rFont val="Arial"/>
        <family val="0"/>
        <charset val="1"/>
      </rPr>
      <t xml:space="preserve">(CH4+H2)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</si>
</sst>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0"/>
    <numFmt numFmtId="167" formatCode="0.0000"/>
    <numFmt numFmtId="168" formatCode="0.00"/>
    <numFmt numFmtId="169" formatCode="0.0"/>
    <numFmt numFmtId="170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58"/>
    <col collapsed="false" customWidth="true" hidden="false" outlineLevel="0" max="11" min="11" style="0" width="3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" hidden="false" customHeight="false" outlineLevel="0" collapsed="false">
      <c r="A2" s="3"/>
      <c r="B2" s="4" t="s">
        <v>11</v>
      </c>
      <c r="C2" s="4" t="s">
        <v>12</v>
      </c>
      <c r="D2" s="5" t="s">
        <v>13</v>
      </c>
      <c r="E2" s="3"/>
      <c r="F2" s="3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L2" s="6" t="s">
        <v>19</v>
      </c>
    </row>
    <row r="3" customFormat="false" ht="29.85" hidden="false" customHeight="false" outlineLevel="0" collapsed="false">
      <c r="A3" s="3"/>
      <c r="B3" s="4" t="s">
        <v>11</v>
      </c>
      <c r="C3" s="4" t="s">
        <v>20</v>
      </c>
      <c r="D3" s="5" t="s">
        <v>21</v>
      </c>
      <c r="E3" s="3"/>
      <c r="F3" s="3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L3" s="6" t="s">
        <v>27</v>
      </c>
    </row>
    <row r="4" customFormat="false" ht="29.85" hidden="false" customHeight="false" outlineLevel="0" collapsed="false">
      <c r="A4" s="3"/>
      <c r="B4" s="4" t="s">
        <v>11</v>
      </c>
      <c r="C4" s="4" t="s">
        <v>28</v>
      </c>
      <c r="D4" s="5" t="s">
        <v>29</v>
      </c>
      <c r="E4" s="3"/>
      <c r="F4" s="3" t="s">
        <v>30</v>
      </c>
      <c r="G4" s="4" t="s">
        <v>31</v>
      </c>
      <c r="H4" s="4" t="s">
        <v>24</v>
      </c>
      <c r="I4" s="4" t="s">
        <v>17</v>
      </c>
      <c r="J4" s="4" t="s">
        <v>32</v>
      </c>
      <c r="L4" s="6" t="s">
        <v>33</v>
      </c>
    </row>
    <row r="5" customFormat="false" ht="29.85" hidden="false" customHeight="false" outlineLevel="0" collapsed="false">
      <c r="A5" s="3"/>
      <c r="B5" s="4" t="s">
        <v>34</v>
      </c>
      <c r="C5" s="4" t="s">
        <v>35</v>
      </c>
      <c r="D5" s="5" t="s">
        <v>36</v>
      </c>
      <c r="E5" s="3"/>
      <c r="F5" s="3" t="s">
        <v>37</v>
      </c>
      <c r="G5" s="4" t="s">
        <v>38</v>
      </c>
      <c r="H5" s="4" t="s">
        <v>24</v>
      </c>
      <c r="I5" s="4" t="s">
        <v>17</v>
      </c>
      <c r="J5" s="4" t="s">
        <v>39</v>
      </c>
      <c r="L5" s="6" t="s">
        <v>40</v>
      </c>
    </row>
    <row r="6" customFormat="false" ht="29.85" hidden="false" customHeight="false" outlineLevel="0" collapsed="false">
      <c r="A6" s="3"/>
      <c r="B6" s="4" t="s">
        <v>34</v>
      </c>
      <c r="C6" s="4" t="s">
        <v>41</v>
      </c>
      <c r="D6" s="5" t="s">
        <v>42</v>
      </c>
      <c r="E6" s="3"/>
      <c r="F6" s="3" t="s">
        <v>37</v>
      </c>
      <c r="G6" s="4" t="s">
        <v>43</v>
      </c>
      <c r="H6" s="4" t="s">
        <v>16</v>
      </c>
      <c r="I6" s="4" t="s">
        <v>44</v>
      </c>
      <c r="J6" s="5" t="s">
        <v>45</v>
      </c>
      <c r="L6" s="6" t="s">
        <v>46</v>
      </c>
    </row>
    <row r="7" customFormat="false" ht="29.85" hidden="false" customHeight="false" outlineLevel="0" collapsed="false">
      <c r="A7" s="3"/>
      <c r="B7" s="4" t="s">
        <v>34</v>
      </c>
      <c r="C7" s="4" t="s">
        <v>47</v>
      </c>
      <c r="D7" s="5" t="s">
        <v>48</v>
      </c>
      <c r="E7" s="3"/>
      <c r="F7" s="3" t="s">
        <v>37</v>
      </c>
      <c r="G7" s="4" t="s">
        <v>49</v>
      </c>
      <c r="H7" s="4" t="s">
        <v>16</v>
      </c>
      <c r="I7" s="4" t="s">
        <v>17</v>
      </c>
      <c r="J7" s="4" t="s">
        <v>50</v>
      </c>
      <c r="L7" s="6" t="s">
        <v>51</v>
      </c>
    </row>
    <row r="8" customFormat="false" ht="15" hidden="false" customHeight="false" outlineLevel="0" collapsed="false">
      <c r="A8" s="3"/>
      <c r="B8" s="4" t="s">
        <v>34</v>
      </c>
      <c r="C8" s="4" t="s">
        <v>52</v>
      </c>
      <c r="D8" s="5" t="s">
        <v>53</v>
      </c>
      <c r="E8" s="3"/>
      <c r="F8" s="3" t="s">
        <v>54</v>
      </c>
      <c r="G8" s="4" t="s">
        <v>55</v>
      </c>
      <c r="H8" s="4" t="s">
        <v>16</v>
      </c>
      <c r="I8" s="4" t="s">
        <v>44</v>
      </c>
      <c r="J8" s="4" t="s">
        <v>56</v>
      </c>
      <c r="L8" s="6" t="s">
        <v>57</v>
      </c>
    </row>
    <row r="9" customFormat="false" ht="15" hidden="false" customHeight="false" outlineLevel="0" collapsed="false">
      <c r="A9" s="3"/>
      <c r="B9" s="4" t="s">
        <v>34</v>
      </c>
      <c r="C9" s="4" t="s">
        <v>58</v>
      </c>
      <c r="D9" s="5" t="s">
        <v>59</v>
      </c>
      <c r="E9" s="3"/>
      <c r="F9" s="3" t="s">
        <v>54</v>
      </c>
      <c r="G9" s="4" t="s">
        <v>55</v>
      </c>
      <c r="H9" s="4" t="s">
        <v>16</v>
      </c>
      <c r="I9" s="4" t="s">
        <v>44</v>
      </c>
      <c r="J9" s="4" t="s">
        <v>56</v>
      </c>
    </row>
    <row r="10" customFormat="false" ht="15" hidden="false" customHeight="false" outlineLevel="0" collapsed="false">
      <c r="A10" s="3"/>
      <c r="B10" s="4" t="s">
        <v>34</v>
      </c>
      <c r="C10" s="4" t="s">
        <v>60</v>
      </c>
      <c r="D10" s="5" t="s">
        <v>61</v>
      </c>
      <c r="E10" s="3"/>
      <c r="F10" s="3" t="s">
        <v>62</v>
      </c>
      <c r="G10" s="4" t="s">
        <v>63</v>
      </c>
      <c r="H10" s="4" t="s">
        <v>24</v>
      </c>
      <c r="I10" s="4" t="s">
        <v>44</v>
      </c>
      <c r="J10" s="4" t="s">
        <v>64</v>
      </c>
    </row>
    <row r="11" customFormat="false" ht="15" hidden="false" customHeight="false" outlineLevel="0" collapsed="false">
      <c r="A11" s="3"/>
      <c r="B11" s="4" t="s">
        <v>34</v>
      </c>
      <c r="C11" s="4" t="s">
        <v>12</v>
      </c>
      <c r="D11" s="5" t="s">
        <v>13</v>
      </c>
      <c r="E11" s="3"/>
      <c r="F11" s="3" t="s">
        <v>14</v>
      </c>
      <c r="G11" s="4" t="s">
        <v>65</v>
      </c>
      <c r="H11" s="4" t="s">
        <v>24</v>
      </c>
      <c r="I11" s="4" t="s">
        <v>44</v>
      </c>
      <c r="J11" s="4" t="s">
        <v>66</v>
      </c>
    </row>
    <row r="12" customFormat="false" ht="29.85" hidden="false" customHeight="false" outlineLevel="0" collapsed="false">
      <c r="A12" s="3"/>
      <c r="B12" s="4" t="s">
        <v>34</v>
      </c>
      <c r="C12" s="4" t="s">
        <v>20</v>
      </c>
      <c r="D12" s="5" t="s">
        <v>21</v>
      </c>
      <c r="E12" s="3"/>
      <c r="F12" s="3" t="s">
        <v>22</v>
      </c>
      <c r="G12" s="4" t="s">
        <v>67</v>
      </c>
      <c r="H12" s="4" t="s">
        <v>24</v>
      </c>
      <c r="I12" s="4" t="s">
        <v>25</v>
      </c>
      <c r="J12" s="4" t="s">
        <v>26</v>
      </c>
    </row>
    <row r="13" customFormat="false" ht="15" hidden="false" customHeight="false" outlineLevel="0" collapsed="false">
      <c r="A13" s="3"/>
      <c r="B13" s="4" t="s">
        <v>34</v>
      </c>
      <c r="C13" s="4" t="s">
        <v>28</v>
      </c>
      <c r="D13" s="5" t="s">
        <v>29</v>
      </c>
      <c r="E13" s="3"/>
      <c r="F13" s="3" t="s">
        <v>30</v>
      </c>
      <c r="G13" s="4" t="s">
        <v>68</v>
      </c>
      <c r="H13" s="4" t="s">
        <v>24</v>
      </c>
      <c r="I13" s="4" t="s">
        <v>17</v>
      </c>
      <c r="J13" s="4" t="s">
        <v>32</v>
      </c>
    </row>
    <row r="14" customFormat="false" ht="29.85" hidden="false" customHeight="false" outlineLevel="0" collapsed="false">
      <c r="A14" s="3"/>
      <c r="B14" s="4" t="s">
        <v>34</v>
      </c>
      <c r="C14" s="4" t="s">
        <v>69</v>
      </c>
      <c r="D14" s="5" t="s">
        <v>70</v>
      </c>
      <c r="E14" s="3"/>
      <c r="F14" s="3" t="s">
        <v>37</v>
      </c>
      <c r="G14" s="4" t="s">
        <v>71</v>
      </c>
      <c r="H14" s="4" t="s">
        <v>24</v>
      </c>
      <c r="I14" s="4" t="s">
        <v>17</v>
      </c>
      <c r="J14" s="4" t="s">
        <v>72</v>
      </c>
    </row>
    <row r="15" customFormat="false" ht="29.85" hidden="false" customHeight="false" outlineLevel="0" collapsed="false">
      <c r="A15" s="3"/>
      <c r="B15" s="4" t="s">
        <v>34</v>
      </c>
      <c r="C15" s="4" t="s">
        <v>73</v>
      </c>
      <c r="D15" s="5" t="s">
        <v>74</v>
      </c>
      <c r="E15" s="3"/>
      <c r="F15" s="3" t="s">
        <v>75</v>
      </c>
      <c r="G15" s="4" t="s">
        <v>76</v>
      </c>
      <c r="H15" s="4" t="s">
        <v>16</v>
      </c>
      <c r="I15" s="4" t="s">
        <v>17</v>
      </c>
      <c r="J15" s="5" t="s">
        <v>77</v>
      </c>
    </row>
    <row r="16" customFormat="false" ht="29.85" hidden="false" customHeight="false" outlineLevel="0" collapsed="false">
      <c r="A16" s="3"/>
      <c r="B16" s="4" t="s">
        <v>34</v>
      </c>
      <c r="C16" s="4" t="s">
        <v>78</v>
      </c>
      <c r="D16" s="5" t="s">
        <v>79</v>
      </c>
      <c r="E16" s="3"/>
      <c r="F16" s="3" t="s">
        <v>37</v>
      </c>
      <c r="G16" s="4" t="s">
        <v>80</v>
      </c>
      <c r="H16" s="4" t="s">
        <v>16</v>
      </c>
      <c r="I16" s="4" t="s">
        <v>17</v>
      </c>
      <c r="J16" s="4" t="s">
        <v>81</v>
      </c>
    </row>
    <row r="17" customFormat="false" ht="29.85" hidden="false" customHeight="false" outlineLevel="0" collapsed="false">
      <c r="A17" s="3"/>
      <c r="B17" s="4" t="s">
        <v>34</v>
      </c>
      <c r="C17" s="4" t="s">
        <v>82</v>
      </c>
      <c r="D17" s="5" t="s">
        <v>83</v>
      </c>
      <c r="E17" s="3"/>
      <c r="F17" s="3" t="s">
        <v>37</v>
      </c>
      <c r="G17" s="4" t="s">
        <v>84</v>
      </c>
      <c r="H17" s="4" t="s">
        <v>16</v>
      </c>
      <c r="I17" s="4" t="s">
        <v>25</v>
      </c>
      <c r="J17" s="4" t="s">
        <v>85</v>
      </c>
    </row>
    <row r="18" customFormat="false" ht="15" hidden="false" customHeight="false" outlineLevel="0" collapsed="false">
      <c r="A18" s="3"/>
      <c r="B18" s="4" t="s">
        <v>34</v>
      </c>
      <c r="C18" s="4" t="s">
        <v>86</v>
      </c>
      <c r="D18" s="5" t="s">
        <v>87</v>
      </c>
      <c r="E18" s="3"/>
      <c r="F18" s="3" t="s">
        <v>88</v>
      </c>
      <c r="G18" s="4" t="s">
        <v>89</v>
      </c>
      <c r="H18" s="4" t="s">
        <v>24</v>
      </c>
      <c r="I18" s="4" t="s">
        <v>44</v>
      </c>
      <c r="J18" s="4" t="s">
        <v>90</v>
      </c>
    </row>
    <row r="19" customFormat="false" ht="15" hidden="false" customHeight="false" outlineLevel="0" collapsed="false">
      <c r="A19" s="3"/>
      <c r="B19" s="4" t="s">
        <v>34</v>
      </c>
      <c r="C19" s="4" t="s">
        <v>91</v>
      </c>
      <c r="D19" s="5" t="s">
        <v>92</v>
      </c>
      <c r="E19" s="3"/>
      <c r="F19" s="3" t="s">
        <v>37</v>
      </c>
      <c r="G19" s="4" t="s">
        <v>93</v>
      </c>
      <c r="H19" s="4" t="s">
        <v>24</v>
      </c>
      <c r="I19" s="4" t="s">
        <v>44</v>
      </c>
      <c r="J19" s="4" t="s">
        <v>94</v>
      </c>
    </row>
    <row r="20" customFormat="false" ht="29.85" hidden="false" customHeight="false" outlineLevel="0" collapsed="false">
      <c r="A20" s="3"/>
      <c r="B20" s="4" t="s">
        <v>34</v>
      </c>
      <c r="C20" s="4" t="s">
        <v>95</v>
      </c>
      <c r="D20" s="5" t="s">
        <v>96</v>
      </c>
      <c r="E20" s="3"/>
      <c r="F20" s="7" t="s">
        <v>97</v>
      </c>
      <c r="G20" s="4" t="s">
        <v>98</v>
      </c>
      <c r="H20" s="4" t="s">
        <v>24</v>
      </c>
      <c r="I20" s="4" t="s">
        <v>17</v>
      </c>
      <c r="J20" s="4" t="s">
        <v>99</v>
      </c>
    </row>
    <row r="21" customFormat="false" ht="15" hidden="false" customHeight="false" outlineLevel="0" collapsed="false">
      <c r="A21" s="3"/>
      <c r="B21" s="4" t="s">
        <v>100</v>
      </c>
      <c r="C21" s="4" t="s">
        <v>12</v>
      </c>
      <c r="D21" s="5" t="s">
        <v>13</v>
      </c>
      <c r="E21" s="3"/>
      <c r="F21" s="3" t="s">
        <v>14</v>
      </c>
      <c r="G21" s="4" t="s">
        <v>101</v>
      </c>
      <c r="H21" s="4" t="s">
        <v>16</v>
      </c>
      <c r="I21" s="4" t="s">
        <v>17</v>
      </c>
      <c r="J21" s="4" t="s">
        <v>102</v>
      </c>
    </row>
    <row r="22" customFormat="false" ht="29.85" hidden="false" customHeight="false" outlineLevel="0" collapsed="false">
      <c r="A22" s="3"/>
      <c r="B22" s="4" t="s">
        <v>100</v>
      </c>
      <c r="C22" s="4" t="s">
        <v>20</v>
      </c>
      <c r="D22" s="5" t="s">
        <v>21</v>
      </c>
      <c r="E22" s="3"/>
      <c r="F22" s="3" t="s">
        <v>22</v>
      </c>
      <c r="G22" s="4" t="s">
        <v>103</v>
      </c>
      <c r="H22" s="4" t="s">
        <v>24</v>
      </c>
      <c r="I22" s="4" t="s">
        <v>25</v>
      </c>
      <c r="J22" s="4" t="s">
        <v>26</v>
      </c>
    </row>
    <row r="23" customFormat="false" ht="15" hidden="false" customHeight="false" outlineLevel="0" collapsed="false">
      <c r="A23" s="3"/>
      <c r="B23" s="4" t="s">
        <v>100</v>
      </c>
      <c r="C23" s="4" t="s">
        <v>28</v>
      </c>
      <c r="D23" s="5" t="s">
        <v>29</v>
      </c>
      <c r="E23" s="3"/>
      <c r="F23" s="3" t="s">
        <v>30</v>
      </c>
      <c r="G23" s="4" t="s">
        <v>104</v>
      </c>
      <c r="H23" s="4" t="s">
        <v>24</v>
      </c>
      <c r="I23" s="4" t="s">
        <v>17</v>
      </c>
      <c r="J23" s="4" t="s">
        <v>32</v>
      </c>
    </row>
  </sheetData>
  <dataValidations count="3">
    <dataValidation allowBlank="true" errorStyle="stop" operator="between" showDropDown="false" showErrorMessage="false" showInputMessage="false" sqref="B2:B43" type="list">
      <formula1>"승온,반응,중단"</formula1>
      <formula2>0</formula2>
    </dataValidation>
    <dataValidation allowBlank="true" errorStyle="stop" operator="between" showDropDown="false" showErrorMessage="false" showInputMessage="false" sqref="H2:H43" type="list">
      <formula1>"필수,선택"</formula1>
      <formula2>0</formula2>
    </dataValidation>
    <dataValidation allowBlank="true" errorStyle="stop" operator="between" showDropDown="false" showErrorMessage="false" showInputMessage="false" sqref="I2:I43" type="list">
      <formula1>"기록될 것으로 예상,추가 측정이 필요할 것으로 예상,확인 전 판단 어려움"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3"/>
    <col collapsed="false" customWidth="true" hidden="false" outlineLevel="0" max="8" min="8" style="0" width="62"/>
  </cols>
  <sheetData>
    <row r="1" customFormat="false" ht="30" hidden="false" customHeight="true" outlineLevel="0" collapsed="false">
      <c r="A1" s="1" t="s">
        <v>105</v>
      </c>
      <c r="B1" s="1" t="s">
        <v>106</v>
      </c>
      <c r="C1" s="1" t="s">
        <v>2</v>
      </c>
      <c r="D1" s="1" t="s">
        <v>4</v>
      </c>
      <c r="E1" s="1" t="s">
        <v>5</v>
      </c>
      <c r="F1" s="1" t="s">
        <v>107</v>
      </c>
      <c r="H1" s="2" t="s">
        <v>10</v>
      </c>
    </row>
    <row r="2" customFormat="false" ht="15" hidden="false" customHeight="false" outlineLevel="0" collapsed="false">
      <c r="A2" s="5" t="s">
        <v>108</v>
      </c>
      <c r="B2" s="4" t="s">
        <v>109</v>
      </c>
      <c r="C2" s="4" t="s">
        <v>110</v>
      </c>
      <c r="D2" s="5" t="s">
        <v>111</v>
      </c>
      <c r="E2" s="5" t="s">
        <v>88</v>
      </c>
      <c r="F2" s="4" t="s">
        <v>112</v>
      </c>
      <c r="H2" s="6" t="s">
        <v>113</v>
      </c>
    </row>
    <row r="3" customFormat="false" ht="15" hidden="false" customHeight="false" outlineLevel="0" collapsed="false">
      <c r="A3" s="5" t="s">
        <v>114</v>
      </c>
      <c r="B3" s="4" t="s">
        <v>109</v>
      </c>
      <c r="C3" s="4" t="s">
        <v>115</v>
      </c>
      <c r="D3" s="5" t="s">
        <v>116</v>
      </c>
      <c r="E3" s="5" t="s">
        <v>88</v>
      </c>
      <c r="F3" s="5" t="s">
        <v>117</v>
      </c>
      <c r="H3" s="6" t="s">
        <v>118</v>
      </c>
    </row>
    <row r="4" customFormat="false" ht="29.85" hidden="false" customHeight="false" outlineLevel="0" collapsed="false">
      <c r="A4" s="5" t="s">
        <v>119</v>
      </c>
      <c r="B4" s="4" t="s">
        <v>120</v>
      </c>
      <c r="C4" s="4" t="s">
        <v>120</v>
      </c>
      <c r="D4" s="5" t="n">
        <v>1</v>
      </c>
      <c r="E4" s="5" t="s">
        <v>121</v>
      </c>
      <c r="F4" s="4" t="s">
        <v>122</v>
      </c>
      <c r="H4" s="6" t="s">
        <v>123</v>
      </c>
    </row>
    <row r="5" customFormat="false" ht="15" hidden="false" customHeight="false" outlineLevel="0" collapsed="false">
      <c r="A5" s="5" t="s">
        <v>124</v>
      </c>
      <c r="B5" s="4" t="s">
        <v>125</v>
      </c>
      <c r="C5" s="4" t="s">
        <v>126</v>
      </c>
      <c r="D5" s="4" t="s">
        <v>127</v>
      </c>
      <c r="E5" s="5" t="s">
        <v>88</v>
      </c>
      <c r="F5" s="4" t="s">
        <v>128</v>
      </c>
    </row>
    <row r="6" customFormat="false" ht="15" hidden="false" customHeight="false" outlineLevel="0" collapsed="false">
      <c r="A6" s="5" t="s">
        <v>129</v>
      </c>
      <c r="B6" s="4" t="s">
        <v>125</v>
      </c>
      <c r="C6" s="4" t="s">
        <v>126</v>
      </c>
      <c r="D6" s="4" t="s">
        <v>130</v>
      </c>
      <c r="E6" s="5" t="s">
        <v>88</v>
      </c>
      <c r="F6" s="4" t="s">
        <v>131</v>
      </c>
    </row>
    <row r="7" customFormat="false" ht="15" hidden="false" customHeight="false" outlineLevel="0" collapsed="false">
      <c r="A7" s="5" t="s">
        <v>132</v>
      </c>
      <c r="B7" s="4" t="s">
        <v>125</v>
      </c>
      <c r="C7" s="4" t="s">
        <v>126</v>
      </c>
      <c r="D7" s="4" t="s">
        <v>133</v>
      </c>
      <c r="E7" s="5" t="s">
        <v>88</v>
      </c>
      <c r="F7" s="4" t="s">
        <v>134</v>
      </c>
    </row>
    <row r="8" customFormat="false" ht="15" hidden="false" customHeight="false" outlineLevel="0" collapsed="false">
      <c r="A8" s="5" t="s">
        <v>135</v>
      </c>
      <c r="B8" s="4" t="s">
        <v>125</v>
      </c>
      <c r="C8" s="4" t="s">
        <v>136</v>
      </c>
      <c r="D8" s="4" t="s">
        <v>137</v>
      </c>
      <c r="E8" s="5" t="s">
        <v>88</v>
      </c>
      <c r="F8" s="4" t="s">
        <v>138</v>
      </c>
    </row>
    <row r="9" customFormat="false" ht="15" hidden="false" customHeight="false" outlineLevel="0" collapsed="false">
      <c r="A9" s="5" t="s">
        <v>139</v>
      </c>
      <c r="B9" s="4" t="s">
        <v>125</v>
      </c>
      <c r="C9" s="4" t="s">
        <v>136</v>
      </c>
      <c r="D9" s="4" t="s">
        <v>140</v>
      </c>
      <c r="E9" s="5" t="s">
        <v>88</v>
      </c>
      <c r="F9" s="4" t="s">
        <v>141</v>
      </c>
    </row>
    <row r="10" customFormat="false" ht="15" hidden="false" customHeight="false" outlineLevel="0" collapsed="false">
      <c r="A10" s="5" t="s">
        <v>142</v>
      </c>
      <c r="B10" s="4" t="s">
        <v>125</v>
      </c>
      <c r="C10" s="4" t="s">
        <v>136</v>
      </c>
      <c r="D10" s="4" t="s">
        <v>143</v>
      </c>
      <c r="E10" s="5" t="s">
        <v>88</v>
      </c>
      <c r="F10" s="4" t="s">
        <v>144</v>
      </c>
    </row>
    <row r="11" customFormat="false" ht="44" hidden="false" customHeight="false" outlineLevel="0" collapsed="false">
      <c r="A11" s="5" t="s">
        <v>145</v>
      </c>
      <c r="B11" s="4" t="s">
        <v>125</v>
      </c>
      <c r="C11" s="4" t="s">
        <v>136</v>
      </c>
      <c r="D11" s="4" t="s">
        <v>146</v>
      </c>
      <c r="E11" s="5" t="s">
        <v>88</v>
      </c>
      <c r="F11" s="4" t="s">
        <v>147</v>
      </c>
    </row>
    <row r="12" customFormat="false" ht="29.85" hidden="false" customHeight="false" outlineLevel="0" collapsed="false">
      <c r="A12" s="5" t="s">
        <v>148</v>
      </c>
      <c r="B12" s="4" t="s">
        <v>149</v>
      </c>
      <c r="C12" s="4" t="s">
        <v>150</v>
      </c>
      <c r="D12" s="4" t="s">
        <v>151</v>
      </c>
      <c r="E12" s="5" t="s">
        <v>88</v>
      </c>
      <c r="F12" s="4" t="s">
        <v>152</v>
      </c>
    </row>
    <row r="13" customFormat="false" ht="29.85" hidden="false" customHeight="false" outlineLevel="0" collapsed="false">
      <c r="A13" s="5" t="s">
        <v>153</v>
      </c>
      <c r="B13" s="4" t="s">
        <v>149</v>
      </c>
      <c r="C13" s="4" t="s">
        <v>154</v>
      </c>
      <c r="D13" s="4" t="s">
        <v>155</v>
      </c>
      <c r="E13" s="5" t="s">
        <v>88</v>
      </c>
      <c r="F13" s="4" t="s">
        <v>156</v>
      </c>
    </row>
    <row r="14" customFormat="false" ht="29.85" hidden="false" customHeight="false" outlineLevel="0" collapsed="false">
      <c r="A14" s="5" t="s">
        <v>157</v>
      </c>
      <c r="B14" s="4" t="s">
        <v>158</v>
      </c>
      <c r="C14" s="4" t="s">
        <v>159</v>
      </c>
      <c r="D14" s="4" t="s">
        <v>160</v>
      </c>
      <c r="E14" s="5" t="s">
        <v>88</v>
      </c>
      <c r="F14" s="4" t="s">
        <v>161</v>
      </c>
    </row>
    <row r="15" customFormat="false" ht="23.85" hidden="false" customHeight="false" outlineLevel="0" collapsed="false">
      <c r="A15" s="5" t="s">
        <v>162</v>
      </c>
      <c r="B15" s="4" t="s">
        <v>158</v>
      </c>
      <c r="C15" s="4" t="s">
        <v>163</v>
      </c>
      <c r="D15" s="4" t="s">
        <v>34</v>
      </c>
      <c r="E15" s="5" t="s">
        <v>88</v>
      </c>
      <c r="F15" s="4" t="s">
        <v>164</v>
      </c>
    </row>
    <row r="16" customFormat="false" ht="29.85" hidden="false" customHeight="false" outlineLevel="0" collapsed="false">
      <c r="A16" s="5" t="s">
        <v>165</v>
      </c>
      <c r="B16" s="4" t="s">
        <v>166</v>
      </c>
      <c r="C16" s="4" t="s">
        <v>167</v>
      </c>
      <c r="D16" s="5" t="s">
        <v>36</v>
      </c>
      <c r="E16" s="5" t="s">
        <v>88</v>
      </c>
      <c r="F16" s="4" t="s">
        <v>168</v>
      </c>
    </row>
    <row r="17" customFormat="false" ht="15" hidden="false" customHeight="false" outlineLevel="0" collapsed="false">
      <c r="A17" s="5" t="s">
        <v>169</v>
      </c>
      <c r="B17" s="4" t="s">
        <v>170</v>
      </c>
      <c r="C17" s="4" t="s">
        <v>171</v>
      </c>
      <c r="D17" s="5" t="s">
        <v>172</v>
      </c>
      <c r="E17" s="5" t="s">
        <v>37</v>
      </c>
      <c r="F17" s="4" t="s">
        <v>173</v>
      </c>
    </row>
    <row r="18" customFormat="false" ht="15" hidden="false" customHeight="false" outlineLevel="0" collapsed="false">
      <c r="A18" s="5" t="s">
        <v>174</v>
      </c>
      <c r="B18" s="4" t="s">
        <v>175</v>
      </c>
      <c r="C18" s="4" t="s">
        <v>176</v>
      </c>
      <c r="D18" s="4" t="s">
        <v>177</v>
      </c>
      <c r="E18" s="5" t="s">
        <v>88</v>
      </c>
      <c r="F18" s="4" t="s">
        <v>178</v>
      </c>
    </row>
    <row r="19" customFormat="false" ht="26.85" hidden="false" customHeight="false" outlineLevel="0" collapsed="false">
      <c r="A19" s="5" t="s">
        <v>179</v>
      </c>
      <c r="B19" s="4" t="s">
        <v>175</v>
      </c>
      <c r="C19" s="4" t="s">
        <v>180</v>
      </c>
      <c r="D19" s="4" t="s">
        <v>181</v>
      </c>
      <c r="E19" s="5" t="s">
        <v>88</v>
      </c>
      <c r="F19" s="4" t="s">
        <v>182</v>
      </c>
    </row>
    <row r="20" customFormat="false" ht="15" hidden="false" customHeight="false" outlineLevel="0" collapsed="false">
      <c r="A20" s="5" t="s">
        <v>183</v>
      </c>
      <c r="B20" s="4" t="s">
        <v>184</v>
      </c>
      <c r="C20" s="4" t="s">
        <v>185</v>
      </c>
      <c r="D20" s="5" t="s">
        <v>186</v>
      </c>
      <c r="E20" s="5" t="s">
        <v>37</v>
      </c>
      <c r="F20" s="4" t="s">
        <v>187</v>
      </c>
    </row>
    <row r="21" customFormat="false" ht="15" hidden="false" customHeight="false" outlineLevel="0" collapsed="false">
      <c r="A21" s="5" t="s">
        <v>188</v>
      </c>
      <c r="B21" s="4" t="s">
        <v>184</v>
      </c>
      <c r="C21" s="4" t="s">
        <v>189</v>
      </c>
      <c r="D21" s="8" t="n">
        <v>0.001</v>
      </c>
      <c r="E21" s="4" t="s">
        <v>190</v>
      </c>
      <c r="F21" s="4" t="s">
        <v>191</v>
      </c>
    </row>
    <row r="22" customFormat="false" ht="29.85" hidden="false" customHeight="false" outlineLevel="0" collapsed="false">
      <c r="A22" s="5" t="s">
        <v>192</v>
      </c>
      <c r="B22" s="4" t="s">
        <v>184</v>
      </c>
      <c r="C22" s="4" t="s">
        <v>193</v>
      </c>
      <c r="D22" s="9" t="n">
        <v>0.1</v>
      </c>
      <c r="E22" s="4" t="s">
        <v>190</v>
      </c>
      <c r="F22" s="4" t="s">
        <v>194</v>
      </c>
    </row>
    <row r="23" customFormat="false" ht="23.85" hidden="false" customHeight="false" outlineLevel="0" collapsed="false">
      <c r="A23" s="5" t="s">
        <v>195</v>
      </c>
      <c r="B23" s="4" t="s">
        <v>184</v>
      </c>
      <c r="C23" s="4" t="s">
        <v>196</v>
      </c>
      <c r="D23" s="10" t="n">
        <v>5</v>
      </c>
      <c r="E23" s="5" t="s">
        <v>197</v>
      </c>
      <c r="F23" s="4" t="s">
        <v>198</v>
      </c>
    </row>
    <row r="24" customFormat="false" ht="23.85" hidden="false" customHeight="false" outlineLevel="0" collapsed="false">
      <c r="A24" s="5" t="s">
        <v>199</v>
      </c>
      <c r="B24" s="4" t="s">
        <v>184</v>
      </c>
      <c r="C24" s="4" t="s">
        <v>200</v>
      </c>
      <c r="D24" s="10" t="n">
        <v>100</v>
      </c>
      <c r="E24" s="5" t="s">
        <v>197</v>
      </c>
      <c r="F24" s="4" t="s">
        <v>201</v>
      </c>
    </row>
    <row r="25" customFormat="false" ht="15" hidden="false" customHeight="false" outlineLevel="0" collapsed="false">
      <c r="A25" s="5" t="s">
        <v>202</v>
      </c>
      <c r="B25" s="4" t="s">
        <v>203</v>
      </c>
      <c r="C25" s="4" t="s">
        <v>204</v>
      </c>
      <c r="D25" s="4" t="s">
        <v>205</v>
      </c>
      <c r="E25" s="5" t="s">
        <v>88</v>
      </c>
      <c r="F25" s="4" t="s">
        <v>206</v>
      </c>
    </row>
    <row r="26" customFormat="false" ht="15" hidden="false" customHeight="false" outlineLevel="0" collapsed="false">
      <c r="A26" s="5" t="s">
        <v>207</v>
      </c>
      <c r="B26" s="4" t="s">
        <v>203</v>
      </c>
      <c r="C26" s="4" t="s">
        <v>208</v>
      </c>
      <c r="D26" s="4" t="s">
        <v>209</v>
      </c>
      <c r="E26" s="5" t="s">
        <v>88</v>
      </c>
      <c r="F26" s="4" t="s">
        <v>210</v>
      </c>
    </row>
    <row r="27" customFormat="false" ht="23.85" hidden="false" customHeight="false" outlineLevel="0" collapsed="false">
      <c r="A27" s="5" t="s">
        <v>211</v>
      </c>
      <c r="B27" s="4" t="s">
        <v>203</v>
      </c>
      <c r="C27" s="4" t="s">
        <v>212</v>
      </c>
      <c r="D27" s="4" t="s">
        <v>213</v>
      </c>
      <c r="E27" s="5" t="s">
        <v>88</v>
      </c>
      <c r="F27" s="4" t="s">
        <v>214</v>
      </c>
    </row>
    <row r="28" customFormat="false" ht="23.85" hidden="false" customHeight="false" outlineLevel="0" collapsed="false">
      <c r="A28" s="5" t="s">
        <v>215</v>
      </c>
      <c r="B28" s="4" t="s">
        <v>203</v>
      </c>
      <c r="C28" s="4" t="s">
        <v>216</v>
      </c>
      <c r="D28" s="4" t="s">
        <v>209</v>
      </c>
      <c r="E28" s="5" t="s">
        <v>88</v>
      </c>
      <c r="F28" s="4" t="s">
        <v>217</v>
      </c>
    </row>
    <row r="29" customFormat="false" ht="29.85" hidden="false" customHeight="false" outlineLevel="0" collapsed="false">
      <c r="A29" s="5" t="s">
        <v>218</v>
      </c>
      <c r="B29" s="4" t="s">
        <v>203</v>
      </c>
      <c r="C29" s="4" t="s">
        <v>219</v>
      </c>
      <c r="D29" s="4" t="s">
        <v>220</v>
      </c>
      <c r="E29" s="5" t="s">
        <v>88</v>
      </c>
      <c r="F29" s="4" t="s">
        <v>221</v>
      </c>
    </row>
    <row r="30" customFormat="false" ht="29.85" hidden="false" customHeight="false" outlineLevel="0" collapsed="false">
      <c r="A30" s="5" t="s">
        <v>222</v>
      </c>
      <c r="B30" s="4" t="s">
        <v>203</v>
      </c>
      <c r="C30" s="4" t="s">
        <v>223</v>
      </c>
      <c r="D30" s="4" t="s">
        <v>209</v>
      </c>
      <c r="E30" s="5" t="s">
        <v>88</v>
      </c>
      <c r="F30" s="4" t="s">
        <v>224</v>
      </c>
    </row>
    <row r="31" customFormat="false" ht="29.85" hidden="false" customHeight="false" outlineLevel="0" collapsed="false">
      <c r="A31" s="5" t="s">
        <v>225</v>
      </c>
      <c r="B31" s="4" t="s">
        <v>203</v>
      </c>
      <c r="C31" s="4" t="s">
        <v>226</v>
      </c>
      <c r="D31" s="4" t="s">
        <v>209</v>
      </c>
      <c r="E31" s="5" t="s">
        <v>88</v>
      </c>
      <c r="F31" s="4" t="s">
        <v>227</v>
      </c>
    </row>
    <row r="32" customFormat="false" ht="58.2" hidden="false" customHeight="false" outlineLevel="0" collapsed="false">
      <c r="A32" s="5" t="s">
        <v>228</v>
      </c>
      <c r="B32" s="4" t="s">
        <v>184</v>
      </c>
      <c r="C32" s="4" t="s">
        <v>229</v>
      </c>
      <c r="D32" s="4" t="s">
        <v>230</v>
      </c>
      <c r="E32" s="5" t="s">
        <v>88</v>
      </c>
      <c r="F32" s="4" t="s">
        <v>231</v>
      </c>
    </row>
    <row r="33" customFormat="false" ht="23.85" hidden="false" customHeight="false" outlineLevel="0" collapsed="false">
      <c r="A33" s="5" t="s">
        <v>232</v>
      </c>
      <c r="B33" s="4" t="s">
        <v>184</v>
      </c>
      <c r="C33" s="4" t="s">
        <v>233</v>
      </c>
      <c r="D33" s="4" t="s">
        <v>234</v>
      </c>
      <c r="E33" s="5" t="s">
        <v>88</v>
      </c>
      <c r="F33" s="4" t="s">
        <v>235</v>
      </c>
    </row>
    <row r="34" customFormat="false" ht="23.85" hidden="false" customHeight="false" outlineLevel="0" collapsed="false">
      <c r="A34" s="5" t="s">
        <v>236</v>
      </c>
      <c r="B34" s="4" t="s">
        <v>184</v>
      </c>
      <c r="C34" s="4" t="s">
        <v>237</v>
      </c>
      <c r="D34" s="5" t="s">
        <v>238</v>
      </c>
      <c r="E34" s="5" t="s">
        <v>88</v>
      </c>
      <c r="F34" s="4" t="s">
        <v>239</v>
      </c>
    </row>
    <row r="35" customFormat="false" ht="15" hidden="false" customHeight="false" outlineLevel="0" collapsed="false">
      <c r="A35" s="5" t="s">
        <v>240</v>
      </c>
      <c r="B35" s="4" t="s">
        <v>184</v>
      </c>
      <c r="C35" s="5" t="s">
        <v>241</v>
      </c>
      <c r="D35" s="5" t="s">
        <v>96</v>
      </c>
      <c r="E35" s="5" t="s">
        <v>88</v>
      </c>
      <c r="F35" s="4" t="s">
        <v>95</v>
      </c>
    </row>
    <row r="36" customFormat="false" ht="15" hidden="false" customHeight="false" outlineLevel="0" collapsed="false">
      <c r="A36" s="5" t="s">
        <v>242</v>
      </c>
      <c r="B36" s="4" t="s">
        <v>184</v>
      </c>
      <c r="C36" s="5" t="s">
        <v>243</v>
      </c>
      <c r="D36" s="4" t="s">
        <v>244</v>
      </c>
      <c r="E36" s="5" t="s">
        <v>88</v>
      </c>
      <c r="F36" s="4" t="s">
        <v>245</v>
      </c>
    </row>
    <row r="37" customFormat="false" ht="15" hidden="false" customHeight="false" outlineLevel="0" collapsed="false">
      <c r="A37" s="5" t="s">
        <v>246</v>
      </c>
      <c r="B37" s="4" t="s">
        <v>184</v>
      </c>
      <c r="C37" s="4" t="s">
        <v>247</v>
      </c>
      <c r="D37" s="5" t="n">
        <v>1</v>
      </c>
      <c r="E37" s="5" t="s">
        <v>54</v>
      </c>
      <c r="F37" s="4" t="s">
        <v>248</v>
      </c>
    </row>
    <row r="38" customFormat="false" ht="15" hidden="false" customHeight="false" outlineLevel="0" collapsed="false">
      <c r="A38" s="5" t="s">
        <v>249</v>
      </c>
      <c r="B38" s="4" t="s">
        <v>184</v>
      </c>
      <c r="C38" s="5" t="s">
        <v>53</v>
      </c>
      <c r="D38" s="5" t="s">
        <v>250</v>
      </c>
      <c r="E38" s="5" t="s">
        <v>54</v>
      </c>
      <c r="F38" s="4" t="s">
        <v>251</v>
      </c>
    </row>
    <row r="39" customFormat="false" ht="15" hidden="false" customHeight="false" outlineLevel="0" collapsed="false">
      <c r="A39" s="5" t="s">
        <v>252</v>
      </c>
      <c r="B39" s="4" t="s">
        <v>184</v>
      </c>
      <c r="C39" s="5" t="s">
        <v>59</v>
      </c>
      <c r="D39" s="5" t="s">
        <v>250</v>
      </c>
      <c r="E39" s="5" t="s">
        <v>54</v>
      </c>
      <c r="F39" s="4" t="s">
        <v>251</v>
      </c>
    </row>
    <row r="40" customFormat="false" ht="15" hidden="false" customHeight="false" outlineLevel="0" collapsed="false">
      <c r="A40" s="5" t="s">
        <v>253</v>
      </c>
      <c r="B40" s="4" t="s">
        <v>184</v>
      </c>
      <c r="C40" s="5" t="s">
        <v>74</v>
      </c>
      <c r="D40" s="5" t="s">
        <v>250</v>
      </c>
      <c r="E40" s="5" t="s">
        <v>54</v>
      </c>
      <c r="F40" s="4" t="s">
        <v>254</v>
      </c>
    </row>
    <row r="41" customFormat="false" ht="15" hidden="false" customHeight="false" outlineLevel="0" collapsed="false">
      <c r="A41" s="5" t="s">
        <v>255</v>
      </c>
      <c r="B41" s="4" t="s">
        <v>184</v>
      </c>
      <c r="C41" s="5" t="s">
        <v>61</v>
      </c>
      <c r="D41" s="10" t="s">
        <v>256</v>
      </c>
      <c r="E41" s="5" t="s">
        <v>62</v>
      </c>
      <c r="F41" s="4" t="s">
        <v>257</v>
      </c>
    </row>
    <row r="42" customFormat="false" ht="29.85" hidden="false" customHeight="false" outlineLevel="0" collapsed="false">
      <c r="A42" s="5" t="s">
        <v>258</v>
      </c>
      <c r="B42" s="4" t="s">
        <v>184</v>
      </c>
      <c r="C42" s="4" t="s">
        <v>259</v>
      </c>
      <c r="D42" s="5" t="s">
        <v>260</v>
      </c>
      <c r="E42" s="5" t="s">
        <v>88</v>
      </c>
      <c r="F42" s="4" t="s">
        <v>261</v>
      </c>
    </row>
    <row r="43" customFormat="false" ht="15" hidden="false" customHeight="false" outlineLevel="0" collapsed="false">
      <c r="A43" s="5" t="s">
        <v>262</v>
      </c>
      <c r="B43" s="4" t="s">
        <v>263</v>
      </c>
      <c r="C43" s="5" t="s">
        <v>21</v>
      </c>
      <c r="D43" s="5" t="s">
        <v>264</v>
      </c>
      <c r="E43" s="5" t="s">
        <v>88</v>
      </c>
      <c r="F43" s="4" t="s">
        <v>265</v>
      </c>
    </row>
    <row r="44" customFormat="false" ht="15" hidden="false" customHeight="false" outlineLevel="0" collapsed="false">
      <c r="A44" s="5" t="s">
        <v>266</v>
      </c>
      <c r="B44" s="4" t="s">
        <v>263</v>
      </c>
      <c r="C44" s="5" t="s">
        <v>29</v>
      </c>
      <c r="D44" s="5" t="s">
        <v>267</v>
      </c>
      <c r="E44" s="5" t="s">
        <v>88</v>
      </c>
      <c r="F44" s="5"/>
    </row>
    <row r="45" customFormat="false" ht="15" hidden="false" customHeight="false" outlineLevel="0" collapsed="false">
      <c r="A45" s="5" t="s">
        <v>268</v>
      </c>
      <c r="B45" s="4" t="s">
        <v>263</v>
      </c>
      <c r="C45" s="5" t="s">
        <v>36</v>
      </c>
      <c r="D45" s="5" t="s">
        <v>269</v>
      </c>
      <c r="E45" s="5" t="s">
        <v>88</v>
      </c>
      <c r="F45" s="5"/>
    </row>
    <row r="46" customFormat="false" ht="15" hidden="false" customHeight="false" outlineLevel="0" collapsed="false">
      <c r="A46" s="5" t="s">
        <v>270</v>
      </c>
      <c r="B46" s="4" t="s">
        <v>263</v>
      </c>
      <c r="C46" s="5" t="s">
        <v>92</v>
      </c>
      <c r="D46" s="5" t="s">
        <v>271</v>
      </c>
      <c r="E46" s="5" t="s">
        <v>88</v>
      </c>
      <c r="F46" s="5"/>
    </row>
    <row r="47" customFormat="false" ht="15" hidden="false" customHeight="false" outlineLevel="0" collapsed="false">
      <c r="A47" s="5" t="s">
        <v>272</v>
      </c>
      <c r="B47" s="4" t="s">
        <v>203</v>
      </c>
      <c r="C47" s="4" t="s">
        <v>273</v>
      </c>
      <c r="D47" s="4" t="s">
        <v>274</v>
      </c>
      <c r="E47" s="5" t="s">
        <v>88</v>
      </c>
      <c r="F47" s="4" t="s">
        <v>275</v>
      </c>
    </row>
    <row r="48" customFormat="false" ht="23.85" hidden="false" customHeight="false" outlineLevel="0" collapsed="false">
      <c r="A48" s="5" t="s">
        <v>276</v>
      </c>
      <c r="B48" s="4" t="s">
        <v>203</v>
      </c>
      <c r="C48" s="4" t="s">
        <v>277</v>
      </c>
      <c r="D48" s="4" t="s">
        <v>209</v>
      </c>
      <c r="E48" s="5" t="s">
        <v>88</v>
      </c>
      <c r="F48" s="4" t="s">
        <v>278</v>
      </c>
    </row>
    <row r="49" customFormat="false" ht="15" hidden="false" customHeight="false" outlineLevel="0" collapsed="false">
      <c r="A49" s="5" t="s">
        <v>279</v>
      </c>
      <c r="B49" s="4" t="s">
        <v>203</v>
      </c>
      <c r="C49" s="4" t="s">
        <v>280</v>
      </c>
      <c r="D49" s="4" t="s">
        <v>205</v>
      </c>
      <c r="E49" s="5" t="s">
        <v>88</v>
      </c>
      <c r="F49" s="4" t="s">
        <v>281</v>
      </c>
    </row>
    <row r="50" customFormat="false" ht="15" hidden="false" customHeight="false" outlineLevel="0" collapsed="false">
      <c r="A50" s="5" t="s">
        <v>282</v>
      </c>
      <c r="B50" s="4" t="s">
        <v>283</v>
      </c>
      <c r="C50" s="5" t="s">
        <v>13</v>
      </c>
      <c r="D50" s="5" t="s">
        <v>14</v>
      </c>
      <c r="E50" s="5" t="s">
        <v>88</v>
      </c>
      <c r="F50" s="4" t="s">
        <v>284</v>
      </c>
    </row>
    <row r="51" customFormat="false" ht="15" hidden="false" customHeight="false" outlineLevel="0" collapsed="false">
      <c r="A51" s="5" t="s">
        <v>285</v>
      </c>
      <c r="B51" s="4" t="s">
        <v>283</v>
      </c>
      <c r="C51" s="5" t="s">
        <v>21</v>
      </c>
      <c r="D51" s="5" t="s">
        <v>22</v>
      </c>
      <c r="E51" s="5" t="s">
        <v>88</v>
      </c>
      <c r="F51" s="5"/>
    </row>
    <row r="52" customFormat="false" ht="15" hidden="false" customHeight="false" outlineLevel="0" collapsed="false">
      <c r="A52" s="5" t="s">
        <v>286</v>
      </c>
      <c r="B52" s="4" t="s">
        <v>283</v>
      </c>
      <c r="C52" s="5" t="s">
        <v>29</v>
      </c>
      <c r="D52" s="5" t="s">
        <v>30</v>
      </c>
      <c r="E52" s="5" t="s">
        <v>88</v>
      </c>
      <c r="F52" s="5"/>
    </row>
    <row r="53" customFormat="false" ht="15" hidden="false" customHeight="false" outlineLevel="0" collapsed="false">
      <c r="A53" s="5" t="s">
        <v>287</v>
      </c>
      <c r="B53" s="4" t="s">
        <v>283</v>
      </c>
      <c r="C53" s="5" t="s">
        <v>36</v>
      </c>
      <c r="D53" s="5" t="s">
        <v>37</v>
      </c>
      <c r="E53" s="5" t="s">
        <v>88</v>
      </c>
      <c r="F53" s="5"/>
    </row>
    <row r="54" customFormat="false" ht="15" hidden="false" customHeight="false" outlineLevel="0" collapsed="false">
      <c r="A54" s="5" t="s">
        <v>288</v>
      </c>
      <c r="B54" s="4" t="s">
        <v>283</v>
      </c>
      <c r="C54" s="5" t="s">
        <v>42</v>
      </c>
      <c r="D54" s="5" t="s">
        <v>37</v>
      </c>
      <c r="E54" s="5" t="s">
        <v>88</v>
      </c>
      <c r="F54" s="5"/>
    </row>
    <row r="55" customFormat="false" ht="15" hidden="false" customHeight="false" outlineLevel="0" collapsed="false">
      <c r="A55" s="5" t="s">
        <v>289</v>
      </c>
      <c r="B55" s="4" t="s">
        <v>283</v>
      </c>
      <c r="C55" s="5" t="s">
        <v>48</v>
      </c>
      <c r="D55" s="5" t="s">
        <v>37</v>
      </c>
      <c r="E55" s="5" t="s">
        <v>88</v>
      </c>
      <c r="F55" s="5"/>
    </row>
    <row r="56" customFormat="false" ht="15" hidden="false" customHeight="false" outlineLevel="0" collapsed="false">
      <c r="A56" s="5" t="s">
        <v>290</v>
      </c>
      <c r="B56" s="4" t="s">
        <v>283</v>
      </c>
      <c r="C56" s="5" t="s">
        <v>53</v>
      </c>
      <c r="D56" s="5" t="s">
        <v>54</v>
      </c>
      <c r="E56" s="5" t="s">
        <v>88</v>
      </c>
      <c r="F56" s="5"/>
    </row>
    <row r="57" customFormat="false" ht="15" hidden="false" customHeight="false" outlineLevel="0" collapsed="false">
      <c r="A57" s="5" t="s">
        <v>291</v>
      </c>
      <c r="B57" s="4" t="s">
        <v>283</v>
      </c>
      <c r="C57" s="5" t="s">
        <v>59</v>
      </c>
      <c r="D57" s="5" t="s">
        <v>54</v>
      </c>
      <c r="E57" s="5" t="s">
        <v>88</v>
      </c>
      <c r="F57" s="5"/>
    </row>
    <row r="58" customFormat="false" ht="15" hidden="false" customHeight="false" outlineLevel="0" collapsed="false">
      <c r="A58" s="5" t="s">
        <v>292</v>
      </c>
      <c r="B58" s="4" t="s">
        <v>283</v>
      </c>
      <c r="C58" s="5" t="s">
        <v>61</v>
      </c>
      <c r="D58" s="5" t="s">
        <v>62</v>
      </c>
      <c r="E58" s="5" t="s">
        <v>88</v>
      </c>
      <c r="F58" s="5"/>
    </row>
    <row r="59" customFormat="false" ht="15" hidden="false" customHeight="false" outlineLevel="0" collapsed="false">
      <c r="A59" s="5" t="s">
        <v>293</v>
      </c>
      <c r="B59" s="4" t="s">
        <v>283</v>
      </c>
      <c r="C59" s="5" t="s">
        <v>70</v>
      </c>
      <c r="D59" s="5" t="s">
        <v>37</v>
      </c>
      <c r="E59" s="5" t="s">
        <v>88</v>
      </c>
      <c r="F59" s="5"/>
    </row>
    <row r="60" customFormat="false" ht="15" hidden="false" customHeight="false" outlineLevel="0" collapsed="false">
      <c r="A60" s="5" t="s">
        <v>294</v>
      </c>
      <c r="B60" s="4" t="s">
        <v>283</v>
      </c>
      <c r="C60" s="5" t="s">
        <v>74</v>
      </c>
      <c r="D60" s="5" t="s">
        <v>54</v>
      </c>
      <c r="E60" s="5" t="s">
        <v>88</v>
      </c>
      <c r="F60" s="5"/>
    </row>
    <row r="61" customFormat="false" ht="15" hidden="false" customHeight="false" outlineLevel="0" collapsed="false">
      <c r="A61" s="5" t="s">
        <v>295</v>
      </c>
      <c r="B61" s="4" t="s">
        <v>283</v>
      </c>
      <c r="C61" s="5" t="s">
        <v>79</v>
      </c>
      <c r="D61" s="5" t="s">
        <v>37</v>
      </c>
      <c r="E61" s="5" t="s">
        <v>88</v>
      </c>
      <c r="F61" s="5"/>
    </row>
    <row r="62" customFormat="false" ht="15" hidden="false" customHeight="false" outlineLevel="0" collapsed="false">
      <c r="A62" s="5" t="s">
        <v>296</v>
      </c>
      <c r="B62" s="4" t="s">
        <v>283</v>
      </c>
      <c r="C62" s="5" t="s">
        <v>83</v>
      </c>
      <c r="D62" s="5" t="s">
        <v>37</v>
      </c>
      <c r="E62" s="5" t="s">
        <v>88</v>
      </c>
      <c r="F62" s="5"/>
    </row>
    <row r="63" customFormat="false" ht="15" hidden="false" customHeight="false" outlineLevel="0" collapsed="false">
      <c r="A63" s="5" t="s">
        <v>297</v>
      </c>
      <c r="B63" s="4" t="s">
        <v>283</v>
      </c>
      <c r="C63" s="5" t="s">
        <v>87</v>
      </c>
      <c r="D63" s="5" t="s">
        <v>88</v>
      </c>
      <c r="E63" s="5" t="s">
        <v>88</v>
      </c>
      <c r="F63" s="5"/>
    </row>
    <row r="64" customFormat="false" ht="15" hidden="false" customHeight="false" outlineLevel="0" collapsed="false">
      <c r="A64" s="5" t="s">
        <v>298</v>
      </c>
      <c r="B64" s="4" t="s">
        <v>283</v>
      </c>
      <c r="C64" s="5" t="s">
        <v>92</v>
      </c>
      <c r="D64" s="5" t="s">
        <v>37</v>
      </c>
      <c r="E64" s="5" t="s">
        <v>88</v>
      </c>
      <c r="F64" s="5"/>
    </row>
    <row r="65" customFormat="false" ht="15" hidden="false" customHeight="false" outlineLevel="0" collapsed="false">
      <c r="A65" s="5" t="s">
        <v>299</v>
      </c>
      <c r="B65" s="4" t="s">
        <v>283</v>
      </c>
      <c r="C65" s="5" t="s">
        <v>96</v>
      </c>
      <c r="D65" s="4" t="s">
        <v>97</v>
      </c>
      <c r="E65" s="5" t="s">
        <v>88</v>
      </c>
      <c r="F65" s="5"/>
    </row>
    <row r="66" customFormat="false" ht="15" hidden="false" customHeight="false" outlineLevel="0" collapsed="false">
      <c r="A66" s="5" t="s">
        <v>300</v>
      </c>
      <c r="B66" s="4" t="s">
        <v>301</v>
      </c>
      <c r="C66" s="5" t="s">
        <v>302</v>
      </c>
      <c r="D66" s="5" t="n">
        <v>16.043</v>
      </c>
      <c r="E66" s="5" t="s">
        <v>303</v>
      </c>
      <c r="F66" s="4" t="s">
        <v>304</v>
      </c>
    </row>
    <row r="67" customFormat="false" ht="15" hidden="false" customHeight="false" outlineLevel="0" collapsed="false">
      <c r="A67" s="5" t="s">
        <v>305</v>
      </c>
      <c r="B67" s="4" t="s">
        <v>301</v>
      </c>
      <c r="C67" s="5" t="s">
        <v>306</v>
      </c>
      <c r="D67" s="5" t="n">
        <v>2.016</v>
      </c>
      <c r="E67" s="5" t="s">
        <v>303</v>
      </c>
      <c r="F67" s="4" t="s">
        <v>304</v>
      </c>
    </row>
    <row r="68" customFormat="false" ht="15" hidden="false" customHeight="false" outlineLevel="0" collapsed="false">
      <c r="A68" s="5" t="s">
        <v>307</v>
      </c>
      <c r="B68" s="4" t="s">
        <v>301</v>
      </c>
      <c r="C68" s="5" t="s">
        <v>308</v>
      </c>
      <c r="D68" s="5" t="n">
        <v>12.011</v>
      </c>
      <c r="E68" s="5" t="s">
        <v>303</v>
      </c>
      <c r="F68" s="4" t="s">
        <v>304</v>
      </c>
    </row>
    <row r="69" customFormat="false" ht="15" hidden="false" customHeight="false" outlineLevel="0" collapsed="false">
      <c r="A69" s="5" t="s">
        <v>309</v>
      </c>
      <c r="B69" s="4" t="s">
        <v>310</v>
      </c>
      <c r="C69" s="5" t="s">
        <v>311</v>
      </c>
      <c r="D69" s="5" t="n">
        <v>0.001</v>
      </c>
      <c r="E69" s="5" t="s">
        <v>22</v>
      </c>
      <c r="F69" s="4" t="s">
        <v>312</v>
      </c>
    </row>
    <row r="70" customFormat="false" ht="15" hidden="false" customHeight="false" outlineLevel="0" collapsed="false">
      <c r="A70" s="5" t="s">
        <v>313</v>
      </c>
      <c r="B70" s="4" t="s">
        <v>310</v>
      </c>
      <c r="C70" s="5" t="s">
        <v>22</v>
      </c>
      <c r="D70" s="5" t="n">
        <v>1</v>
      </c>
      <c r="E70" s="5" t="s">
        <v>22</v>
      </c>
      <c r="F70" s="5"/>
    </row>
    <row r="71" customFormat="false" ht="15" hidden="false" customHeight="false" outlineLevel="0" collapsed="false">
      <c r="A71" s="5" t="s">
        <v>314</v>
      </c>
      <c r="B71" s="4" t="s">
        <v>310</v>
      </c>
      <c r="C71" s="5" t="s">
        <v>315</v>
      </c>
      <c r="D71" s="5" t="n">
        <v>1000</v>
      </c>
      <c r="E71" s="5" t="s">
        <v>22</v>
      </c>
      <c r="F71" s="5"/>
    </row>
    <row r="72" customFormat="false" ht="15" hidden="false" customHeight="false" outlineLevel="0" collapsed="false">
      <c r="A72" s="5" t="s">
        <v>316</v>
      </c>
      <c r="B72" s="4" t="s">
        <v>310</v>
      </c>
      <c r="C72" s="5" t="s">
        <v>317</v>
      </c>
      <c r="D72" s="5" t="n">
        <v>0.001</v>
      </c>
      <c r="E72" s="5" t="s">
        <v>37</v>
      </c>
      <c r="F72" s="5"/>
    </row>
    <row r="73" customFormat="false" ht="15" hidden="false" customHeight="false" outlineLevel="0" collapsed="false">
      <c r="A73" s="5" t="s">
        <v>318</v>
      </c>
      <c r="B73" s="4" t="s">
        <v>310</v>
      </c>
      <c r="C73" s="5" t="s">
        <v>37</v>
      </c>
      <c r="D73" s="5" t="n">
        <v>1</v>
      </c>
      <c r="E73" s="5" t="s">
        <v>37</v>
      </c>
      <c r="F73" s="5"/>
    </row>
    <row r="74" customFormat="false" ht="15" hidden="false" customHeight="false" outlineLevel="0" collapsed="false">
      <c r="A74" s="5" t="s">
        <v>319</v>
      </c>
      <c r="B74" s="4" t="s">
        <v>310</v>
      </c>
      <c r="C74" s="5" t="s">
        <v>320</v>
      </c>
      <c r="D74" s="5" t="n">
        <v>1E-006</v>
      </c>
      <c r="E74" s="5" t="s">
        <v>37</v>
      </c>
      <c r="F74" s="5"/>
    </row>
    <row r="75" customFormat="false" ht="15" hidden="false" customHeight="false" outlineLevel="0" collapsed="false">
      <c r="A75" s="5" t="s">
        <v>321</v>
      </c>
      <c r="B75" s="4" t="s">
        <v>310</v>
      </c>
      <c r="C75" s="5" t="s">
        <v>322</v>
      </c>
      <c r="D75" s="5" t="n">
        <v>0.001</v>
      </c>
      <c r="E75" s="5" t="s">
        <v>30</v>
      </c>
      <c r="F75" s="5"/>
    </row>
    <row r="76" customFormat="false" ht="15" hidden="false" customHeight="false" outlineLevel="0" collapsed="false">
      <c r="A76" s="5" t="s">
        <v>323</v>
      </c>
      <c r="B76" s="4" t="s">
        <v>310</v>
      </c>
      <c r="C76" s="5" t="s">
        <v>30</v>
      </c>
      <c r="D76" s="5" t="n">
        <v>1</v>
      </c>
      <c r="E76" s="5" t="s">
        <v>30</v>
      </c>
      <c r="F76" s="5"/>
    </row>
    <row r="77" customFormat="false" ht="15" hidden="false" customHeight="false" outlineLevel="0" collapsed="false">
      <c r="A77" s="5" t="s">
        <v>324</v>
      </c>
      <c r="B77" s="4" t="s">
        <v>310</v>
      </c>
      <c r="C77" s="5" t="s">
        <v>325</v>
      </c>
      <c r="D77" s="5" t="n">
        <v>0.0166666666666667</v>
      </c>
      <c r="E77" s="5" t="s">
        <v>14</v>
      </c>
      <c r="F77" s="5"/>
    </row>
    <row r="78" customFormat="false" ht="15" hidden="false" customHeight="false" outlineLevel="0" collapsed="false">
      <c r="A78" s="5" t="s">
        <v>326</v>
      </c>
      <c r="B78" s="4" t="s">
        <v>310</v>
      </c>
      <c r="C78" s="5" t="s">
        <v>14</v>
      </c>
      <c r="D78" s="5" t="n">
        <v>1</v>
      </c>
      <c r="E78" s="5" t="s">
        <v>14</v>
      </c>
      <c r="F78" s="5"/>
    </row>
    <row r="79" customFormat="false" ht="15" hidden="false" customHeight="false" outlineLevel="0" collapsed="false">
      <c r="A79" s="5" t="s">
        <v>327</v>
      </c>
      <c r="B79" s="4" t="s">
        <v>310</v>
      </c>
      <c r="C79" s="5" t="s">
        <v>75</v>
      </c>
      <c r="D79" s="5" t="n">
        <v>0.01</v>
      </c>
      <c r="E79" s="5" t="s">
        <v>54</v>
      </c>
      <c r="F79" s="4" t="s">
        <v>328</v>
      </c>
    </row>
    <row r="80" customFormat="false" ht="15" hidden="false" customHeight="false" outlineLevel="0" collapsed="false">
      <c r="A80" s="5" t="s">
        <v>329</v>
      </c>
      <c r="B80" s="4" t="s">
        <v>310</v>
      </c>
      <c r="C80" s="5" t="s">
        <v>54</v>
      </c>
      <c r="D80" s="5" t="n">
        <v>1</v>
      </c>
      <c r="E80" s="5" t="s">
        <v>54</v>
      </c>
      <c r="F8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5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62"/>
  </cols>
  <sheetData>
    <row r="1" customFormat="false" ht="30" hidden="false" customHeight="true" outlineLevel="0" collapsed="false">
      <c r="A1" s="1" t="s">
        <v>330</v>
      </c>
      <c r="B1" s="1" t="s">
        <v>331</v>
      </c>
      <c r="C1" s="1" t="s">
        <v>4</v>
      </c>
      <c r="D1" s="1" t="s">
        <v>5</v>
      </c>
      <c r="E1" s="1" t="s">
        <v>332</v>
      </c>
      <c r="F1" s="1" t="s">
        <v>333</v>
      </c>
      <c r="G1" s="1" t="s">
        <v>334</v>
      </c>
      <c r="H1" s="1" t="s">
        <v>109</v>
      </c>
      <c r="I1" s="1" t="s">
        <v>335</v>
      </c>
      <c r="K1" s="2" t="s">
        <v>10</v>
      </c>
    </row>
    <row r="2" customFormat="false" ht="29.85" hidden="false" customHeight="false" outlineLevel="0" collapsed="false">
      <c r="A2" s="5" t="s">
        <v>336</v>
      </c>
      <c r="B2" s="4" t="s">
        <v>337</v>
      </c>
      <c r="C2" s="10" t="n">
        <v>0.45</v>
      </c>
      <c r="D2" s="5" t="s">
        <v>264</v>
      </c>
      <c r="E2" s="11" t="s">
        <v>338</v>
      </c>
      <c r="F2" s="4" t="s">
        <v>339</v>
      </c>
      <c r="G2" s="4" t="s">
        <v>340</v>
      </c>
      <c r="H2" s="5" t="s">
        <v>116</v>
      </c>
      <c r="I2" s="5" t="s">
        <v>21</v>
      </c>
      <c r="K2" s="6" t="s">
        <v>341</v>
      </c>
    </row>
    <row r="3" customFormat="false" ht="29.85" hidden="false" customHeight="false" outlineLevel="0" collapsed="false">
      <c r="A3" s="5" t="s">
        <v>342</v>
      </c>
      <c r="B3" s="4" t="s">
        <v>28</v>
      </c>
      <c r="C3" s="10" t="n">
        <v>0.07</v>
      </c>
      <c r="D3" s="5" t="s">
        <v>267</v>
      </c>
      <c r="E3" s="11" t="s">
        <v>343</v>
      </c>
      <c r="F3" s="4" t="s">
        <v>339</v>
      </c>
      <c r="G3" s="4" t="s">
        <v>344</v>
      </c>
      <c r="H3" s="5" t="s">
        <v>116</v>
      </c>
      <c r="I3" s="5" t="s">
        <v>29</v>
      </c>
      <c r="K3" s="6" t="s">
        <v>345</v>
      </c>
    </row>
    <row r="4" customFormat="false" ht="29.85" hidden="false" customHeight="false" outlineLevel="0" collapsed="false">
      <c r="A4" s="5" t="s">
        <v>346</v>
      </c>
      <c r="B4" s="4" t="s">
        <v>347</v>
      </c>
      <c r="C4" s="10" t="n">
        <v>0.6</v>
      </c>
      <c r="D4" s="5" t="s">
        <v>269</v>
      </c>
      <c r="E4" s="11" t="s">
        <v>348</v>
      </c>
      <c r="F4" s="4" t="s">
        <v>339</v>
      </c>
      <c r="G4" s="4" t="s">
        <v>349</v>
      </c>
      <c r="H4" s="5" t="s">
        <v>116</v>
      </c>
      <c r="I4" s="5" t="s">
        <v>36</v>
      </c>
      <c r="K4" s="6" t="s">
        <v>350</v>
      </c>
    </row>
    <row r="5" customFormat="false" ht="29.85" hidden="false" customHeight="false" outlineLevel="0" collapsed="false">
      <c r="A5" s="5" t="s">
        <v>351</v>
      </c>
      <c r="B5" s="4" t="s">
        <v>352</v>
      </c>
      <c r="C5" s="10" t="n">
        <v>2</v>
      </c>
      <c r="D5" s="5" t="s">
        <v>271</v>
      </c>
      <c r="E5" s="11" t="s">
        <v>353</v>
      </c>
      <c r="F5" s="4" t="s">
        <v>339</v>
      </c>
      <c r="G5" s="4" t="s">
        <v>354</v>
      </c>
      <c r="H5" s="5" t="s">
        <v>116</v>
      </c>
      <c r="I5" s="5" t="s">
        <v>355</v>
      </c>
      <c r="K5" s="6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58"/>
    <col collapsed="false" customWidth="true" hidden="false" outlineLevel="0" max="11" min="11" style="0" width="3"/>
    <col collapsed="false" customWidth="true" hidden="false" outlineLevel="0" max="12" min="12" style="0" width="62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" hidden="false" customHeight="false" outlineLevel="0" collapsed="false">
      <c r="A2" s="3" t="s">
        <v>357</v>
      </c>
      <c r="B2" s="4" t="s">
        <v>11</v>
      </c>
      <c r="C2" s="4" t="s">
        <v>12</v>
      </c>
      <c r="D2" s="5" t="s">
        <v>13</v>
      </c>
      <c r="E2" s="3" t="n">
        <v>1.5</v>
      </c>
      <c r="F2" s="3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L2" s="6" t="s">
        <v>358</v>
      </c>
    </row>
    <row r="3" customFormat="false" ht="29.85" hidden="false" customHeight="false" outlineLevel="0" collapsed="false">
      <c r="A3" s="3" t="s">
        <v>357</v>
      </c>
      <c r="B3" s="4" t="s">
        <v>11</v>
      </c>
      <c r="C3" s="4" t="s">
        <v>20</v>
      </c>
      <c r="D3" s="5" t="s">
        <v>21</v>
      </c>
      <c r="E3" s="3" t="n">
        <v>1200</v>
      </c>
      <c r="F3" s="3" t="s">
        <v>311</v>
      </c>
      <c r="G3" s="4" t="s">
        <v>23</v>
      </c>
      <c r="H3" s="4" t="s">
        <v>24</v>
      </c>
      <c r="I3" s="4" t="s">
        <v>25</v>
      </c>
      <c r="J3" s="4" t="s">
        <v>26</v>
      </c>
      <c r="L3" s="6" t="s">
        <v>359</v>
      </c>
    </row>
    <row r="4" customFormat="false" ht="15" hidden="false" customHeight="false" outlineLevel="0" collapsed="false">
      <c r="A4" s="3" t="s">
        <v>357</v>
      </c>
      <c r="B4" s="4" t="s">
        <v>11</v>
      </c>
      <c r="C4" s="4" t="s">
        <v>28</v>
      </c>
      <c r="D4" s="5" t="s">
        <v>29</v>
      </c>
      <c r="E4" s="3" t="n">
        <v>0</v>
      </c>
      <c r="F4" s="3" t="s">
        <v>30</v>
      </c>
      <c r="G4" s="4" t="s">
        <v>31</v>
      </c>
      <c r="H4" s="4" t="s">
        <v>24</v>
      </c>
      <c r="I4" s="4" t="s">
        <v>17</v>
      </c>
      <c r="J4" s="4" t="s">
        <v>32</v>
      </c>
    </row>
    <row r="5" customFormat="false" ht="29.85" hidden="false" customHeight="false" outlineLevel="0" collapsed="false">
      <c r="A5" s="3" t="s">
        <v>357</v>
      </c>
      <c r="B5" s="4" t="s">
        <v>34</v>
      </c>
      <c r="C5" s="4" t="s">
        <v>35</v>
      </c>
      <c r="D5" s="5" t="s">
        <v>36</v>
      </c>
      <c r="E5" s="3" t="n">
        <v>1</v>
      </c>
      <c r="F5" s="3" t="s">
        <v>37</v>
      </c>
      <c r="G5" s="4" t="s">
        <v>38</v>
      </c>
      <c r="H5" s="4" t="s">
        <v>24</v>
      </c>
      <c r="I5" s="4" t="s">
        <v>17</v>
      </c>
      <c r="J5" s="4" t="s">
        <v>39</v>
      </c>
      <c r="L5" s="2" t="s">
        <v>360</v>
      </c>
      <c r="M5" s="2" t="s">
        <v>4</v>
      </c>
    </row>
    <row r="6" customFormat="false" ht="29.85" hidden="false" customHeight="false" outlineLevel="0" collapsed="false">
      <c r="A6" s="3" t="s">
        <v>357</v>
      </c>
      <c r="B6" s="4" t="s">
        <v>34</v>
      </c>
      <c r="C6" s="4" t="s">
        <v>41</v>
      </c>
      <c r="D6" s="5" t="s">
        <v>42</v>
      </c>
      <c r="E6" s="3" t="n">
        <v>2</v>
      </c>
      <c r="F6" s="3" t="s">
        <v>37</v>
      </c>
      <c r="G6" s="4" t="s">
        <v>43</v>
      </c>
      <c r="H6" s="4" t="s">
        <v>16</v>
      </c>
      <c r="I6" s="4" t="s">
        <v>44</v>
      </c>
      <c r="J6" s="5" t="s">
        <v>45</v>
      </c>
      <c r="L6" s="12" t="s">
        <v>361</v>
      </c>
      <c r="M6" s="13" t="n">
        <f aca="false">E6-E7</f>
        <v>1</v>
      </c>
    </row>
    <row r="7" customFormat="false" ht="29.85" hidden="false" customHeight="false" outlineLevel="0" collapsed="false">
      <c r="A7" s="3" t="s">
        <v>357</v>
      </c>
      <c r="B7" s="4" t="s">
        <v>34</v>
      </c>
      <c r="C7" s="4" t="s">
        <v>47</v>
      </c>
      <c r="D7" s="5" t="s">
        <v>48</v>
      </c>
      <c r="E7" s="3" t="n">
        <v>1</v>
      </c>
      <c r="F7" s="3" t="s">
        <v>37</v>
      </c>
      <c r="G7" s="4" t="s">
        <v>49</v>
      </c>
      <c r="H7" s="4" t="s">
        <v>16</v>
      </c>
      <c r="I7" s="4" t="s">
        <v>17</v>
      </c>
      <c r="J7" s="4" t="s">
        <v>50</v>
      </c>
      <c r="L7" s="14" t="s">
        <v>362</v>
      </c>
      <c r="M7" s="15" t="n">
        <f aca="false">M6*2*INDEX(계산설정!D:D,MATCH("M_H2",계산설정!A:A,0))/INDEX(계산설정!D:D,MATCH("M_CH4",계산설정!A:A,0))</f>
        <v>0.251324565230942</v>
      </c>
    </row>
    <row r="8" customFormat="false" ht="15" hidden="false" customHeight="false" outlineLevel="0" collapsed="false">
      <c r="A8" s="3" t="s">
        <v>357</v>
      </c>
      <c r="B8" s="4" t="s">
        <v>34</v>
      </c>
      <c r="C8" s="4" t="s">
        <v>52</v>
      </c>
      <c r="D8" s="5" t="s">
        <v>53</v>
      </c>
      <c r="E8" s="3" t="n">
        <v>0.334</v>
      </c>
      <c r="F8" s="3" t="s">
        <v>54</v>
      </c>
      <c r="G8" s="4" t="s">
        <v>55</v>
      </c>
      <c r="H8" s="4" t="s">
        <v>16</v>
      </c>
      <c r="I8" s="4" t="s">
        <v>44</v>
      </c>
      <c r="J8" s="4" t="s">
        <v>56</v>
      </c>
      <c r="L8" s="14" t="s">
        <v>363</v>
      </c>
      <c r="M8" s="15" t="n">
        <f aca="false">E14/1000</f>
        <v>0.25</v>
      </c>
    </row>
    <row r="9" customFormat="false" ht="15" hidden="false" customHeight="false" outlineLevel="0" collapsed="false">
      <c r="A9" s="3" t="s">
        <v>357</v>
      </c>
      <c r="B9" s="4" t="s">
        <v>34</v>
      </c>
      <c r="C9" s="4" t="s">
        <v>58</v>
      </c>
      <c r="D9" s="5" t="s">
        <v>59</v>
      </c>
      <c r="E9" s="3" t="n">
        <v>0.666</v>
      </c>
      <c r="F9" s="3" t="s">
        <v>54</v>
      </c>
      <c r="G9" s="4" t="s">
        <v>55</v>
      </c>
      <c r="H9" s="4" t="s">
        <v>16</v>
      </c>
      <c r="I9" s="4" t="s">
        <v>44</v>
      </c>
      <c r="J9" s="4" t="s">
        <v>56</v>
      </c>
      <c r="L9" s="14" t="s">
        <v>364</v>
      </c>
      <c r="M9" s="8" t="n">
        <f aca="false">M8/M7</f>
        <v>0.994729662698413</v>
      </c>
    </row>
    <row r="10" customFormat="false" ht="15" hidden="false" customHeight="false" outlineLevel="0" collapsed="false">
      <c r="A10" s="3" t="s">
        <v>357</v>
      </c>
      <c r="B10" s="4" t="s">
        <v>34</v>
      </c>
      <c r="C10" s="4" t="s">
        <v>60</v>
      </c>
      <c r="D10" s="5" t="s">
        <v>61</v>
      </c>
      <c r="E10" s="3" t="n">
        <v>800</v>
      </c>
      <c r="F10" s="3" t="s">
        <v>62</v>
      </c>
      <c r="G10" s="4" t="s">
        <v>63</v>
      </c>
      <c r="H10" s="4" t="s">
        <v>24</v>
      </c>
      <c r="I10" s="4" t="s">
        <v>44</v>
      </c>
      <c r="J10" s="4" t="s">
        <v>64</v>
      </c>
      <c r="L10" s="14" t="s">
        <v>365</v>
      </c>
      <c r="M10" s="15" t="n">
        <f aca="false">M6*INDEX(계산설정!D:D,MATCH("M_C",계산설정!A:A,0))/INDEX(계산설정!D:D,MATCH("M_CH4",계산설정!A:A,0))</f>
        <v>0.748675434769058</v>
      </c>
    </row>
    <row r="11" customFormat="false" ht="15" hidden="false" customHeight="false" outlineLevel="0" collapsed="false">
      <c r="A11" s="3" t="s">
        <v>357</v>
      </c>
      <c r="B11" s="4" t="s">
        <v>34</v>
      </c>
      <c r="C11" s="4" t="s">
        <v>12</v>
      </c>
      <c r="D11" s="5" t="s">
        <v>13</v>
      </c>
      <c r="E11" s="3" t="n">
        <v>4</v>
      </c>
      <c r="F11" s="3" t="s">
        <v>14</v>
      </c>
      <c r="G11" s="4" t="s">
        <v>65</v>
      </c>
      <c r="H11" s="4" t="s">
        <v>24</v>
      </c>
      <c r="I11" s="4" t="s">
        <v>44</v>
      </c>
      <c r="J11" s="4" t="s">
        <v>66</v>
      </c>
      <c r="L11" s="14" t="s">
        <v>366</v>
      </c>
      <c r="M11" s="15" t="n">
        <f aca="false">(E16+E17)/1000</f>
        <v>0.74</v>
      </c>
    </row>
    <row r="12" customFormat="false" ht="29.85" hidden="false" customHeight="false" outlineLevel="0" collapsed="false">
      <c r="A12" s="3" t="s">
        <v>357</v>
      </c>
      <c r="B12" s="4" t="s">
        <v>34</v>
      </c>
      <c r="C12" s="4" t="s">
        <v>20</v>
      </c>
      <c r="D12" s="5" t="s">
        <v>21</v>
      </c>
      <c r="E12" s="3" t="n">
        <v>5000</v>
      </c>
      <c r="F12" s="3" t="s">
        <v>311</v>
      </c>
      <c r="G12" s="4" t="s">
        <v>67</v>
      </c>
      <c r="H12" s="4" t="s">
        <v>24</v>
      </c>
      <c r="I12" s="4" t="s">
        <v>25</v>
      </c>
      <c r="J12" s="4" t="s">
        <v>26</v>
      </c>
      <c r="L12" s="14" t="s">
        <v>367</v>
      </c>
      <c r="M12" s="8" t="n">
        <f aca="false">M11/M10</f>
        <v>0.988412288735326</v>
      </c>
    </row>
    <row r="13" customFormat="false" ht="15" hidden="false" customHeight="false" outlineLevel="0" collapsed="false">
      <c r="A13" s="3" t="s">
        <v>357</v>
      </c>
      <c r="B13" s="4" t="s">
        <v>34</v>
      </c>
      <c r="C13" s="4" t="s">
        <v>28</v>
      </c>
      <c r="D13" s="5" t="s">
        <v>29</v>
      </c>
      <c r="E13" s="3" t="n">
        <v>0</v>
      </c>
      <c r="F13" s="3" t="s">
        <v>30</v>
      </c>
      <c r="G13" s="4" t="s">
        <v>68</v>
      </c>
      <c r="H13" s="4" t="s">
        <v>24</v>
      </c>
      <c r="I13" s="4" t="s">
        <v>17</v>
      </c>
      <c r="J13" s="4" t="s">
        <v>32</v>
      </c>
      <c r="L13" s="12" t="s">
        <v>368</v>
      </c>
      <c r="M13" s="16" t="n">
        <f aca="false">(E3+E12+E22)/1000</f>
        <v>6.5</v>
      </c>
    </row>
    <row r="14" customFormat="false" ht="29.85" hidden="false" customHeight="false" outlineLevel="0" collapsed="false">
      <c r="A14" s="3" t="s">
        <v>357</v>
      </c>
      <c r="B14" s="4" t="s">
        <v>34</v>
      </c>
      <c r="C14" s="4" t="s">
        <v>69</v>
      </c>
      <c r="D14" s="5" t="s">
        <v>70</v>
      </c>
      <c r="E14" s="3" t="n">
        <v>250</v>
      </c>
      <c r="F14" s="3" t="s">
        <v>317</v>
      </c>
      <c r="G14" s="4" t="s">
        <v>71</v>
      </c>
      <c r="H14" s="4" t="s">
        <v>24</v>
      </c>
      <c r="I14" s="4" t="s">
        <v>17</v>
      </c>
      <c r="J14" s="4" t="s">
        <v>72</v>
      </c>
      <c r="L14" s="12" t="s">
        <v>369</v>
      </c>
      <c r="M14" s="17" t="n">
        <f aca="false">M13/M8</f>
        <v>26</v>
      </c>
    </row>
    <row r="15" customFormat="false" ht="29.85" hidden="false" customHeight="false" outlineLevel="0" collapsed="false">
      <c r="A15" s="3" t="s">
        <v>357</v>
      </c>
      <c r="B15" s="4" t="s">
        <v>34</v>
      </c>
      <c r="C15" s="4" t="s">
        <v>73</v>
      </c>
      <c r="D15" s="5" t="s">
        <v>74</v>
      </c>
      <c r="E15" s="3" t="n">
        <v>66.6</v>
      </c>
      <c r="F15" s="3" t="s">
        <v>75</v>
      </c>
      <c r="G15" s="4" t="s">
        <v>76</v>
      </c>
      <c r="H15" s="4" t="s">
        <v>16</v>
      </c>
      <c r="I15" s="4" t="s">
        <v>17</v>
      </c>
      <c r="J15" s="5" t="s">
        <v>77</v>
      </c>
      <c r="L15" s="12" t="s">
        <v>370</v>
      </c>
      <c r="M15" s="17" t="n">
        <f aca="false">E12/1000/M8</f>
        <v>20</v>
      </c>
    </row>
    <row r="16" customFormat="false" ht="29.85" hidden="false" customHeight="false" outlineLevel="0" collapsed="false">
      <c r="A16" s="3" t="s">
        <v>357</v>
      </c>
      <c r="B16" s="4" t="s">
        <v>34</v>
      </c>
      <c r="C16" s="4" t="s">
        <v>78</v>
      </c>
      <c r="D16" s="5" t="s">
        <v>79</v>
      </c>
      <c r="E16" s="3" t="n">
        <v>720</v>
      </c>
      <c r="F16" s="3" t="s">
        <v>317</v>
      </c>
      <c r="G16" s="4" t="s">
        <v>80</v>
      </c>
      <c r="H16" s="4" t="s">
        <v>16</v>
      </c>
      <c r="I16" s="4" t="s">
        <v>17</v>
      </c>
      <c r="J16" s="4" t="s">
        <v>81</v>
      </c>
      <c r="L16" s="12" t="s">
        <v>371</v>
      </c>
      <c r="M16" s="15" t="n">
        <f aca="false">E19/1000/E20</f>
        <v>0.005</v>
      </c>
    </row>
    <row r="17" customFormat="false" ht="29.85" hidden="false" customHeight="false" outlineLevel="0" collapsed="false">
      <c r="A17" s="3" t="s">
        <v>357</v>
      </c>
      <c r="B17" s="4" t="s">
        <v>34</v>
      </c>
      <c r="C17" s="4" t="s">
        <v>82</v>
      </c>
      <c r="D17" s="5" t="s">
        <v>83</v>
      </c>
      <c r="E17" s="3" t="n">
        <v>20</v>
      </c>
      <c r="F17" s="3" t="s">
        <v>317</v>
      </c>
      <c r="G17" s="4" t="s">
        <v>84</v>
      </c>
      <c r="H17" s="4" t="s">
        <v>16</v>
      </c>
      <c r="I17" s="4" t="s">
        <v>25</v>
      </c>
      <c r="J17" s="4" t="s">
        <v>85</v>
      </c>
      <c r="L17" s="12" t="s">
        <v>372</v>
      </c>
      <c r="M17" s="18" t="str">
        <f aca="false">IF(ABS(E5-M6)&lt;0.000000001,"일치(재순환 가정과 정합)","불일치")</f>
        <v>일치(재순환 가정과 정합)</v>
      </c>
    </row>
    <row r="18" customFormat="false" ht="15" hidden="false" customHeight="false" outlineLevel="0" collapsed="false">
      <c r="A18" s="3" t="s">
        <v>357</v>
      </c>
      <c r="B18" s="4" t="s">
        <v>34</v>
      </c>
      <c r="C18" s="4" t="s">
        <v>86</v>
      </c>
      <c r="D18" s="5" t="s">
        <v>87</v>
      </c>
      <c r="E18" s="3" t="s">
        <v>373</v>
      </c>
      <c r="F18" s="3" t="s">
        <v>88</v>
      </c>
      <c r="G18" s="4" t="s">
        <v>89</v>
      </c>
      <c r="H18" s="4" t="s">
        <v>24</v>
      </c>
      <c r="I18" s="4" t="s">
        <v>44</v>
      </c>
      <c r="J18" s="4" t="s">
        <v>90</v>
      </c>
      <c r="L18" s="12" t="s">
        <v>374</v>
      </c>
      <c r="M18" s="13" t="n">
        <f aca="false">E8+E9</f>
        <v>1</v>
      </c>
    </row>
    <row r="19" customFormat="false" ht="15" hidden="false" customHeight="false" outlineLevel="0" collapsed="false">
      <c r="A19" s="3" t="s">
        <v>357</v>
      </c>
      <c r="B19" s="4" t="s">
        <v>34</v>
      </c>
      <c r="C19" s="4" t="s">
        <v>91</v>
      </c>
      <c r="D19" s="5" t="s">
        <v>92</v>
      </c>
      <c r="E19" s="3" t="n">
        <v>20</v>
      </c>
      <c r="F19" s="3" t="s">
        <v>317</v>
      </c>
      <c r="G19" s="4" t="s">
        <v>93</v>
      </c>
      <c r="H19" s="4" t="s">
        <v>24</v>
      </c>
      <c r="I19" s="4" t="s">
        <v>44</v>
      </c>
      <c r="J19" s="4" t="s">
        <v>94</v>
      </c>
    </row>
    <row r="20" customFormat="false" ht="29.85" hidden="false" customHeight="false" outlineLevel="0" collapsed="false">
      <c r="A20" s="3" t="s">
        <v>357</v>
      </c>
      <c r="B20" s="4" t="s">
        <v>34</v>
      </c>
      <c r="C20" s="4" t="s">
        <v>95</v>
      </c>
      <c r="D20" s="5" t="s">
        <v>96</v>
      </c>
      <c r="E20" s="3" t="n">
        <v>4</v>
      </c>
      <c r="F20" s="7" t="s">
        <v>97</v>
      </c>
      <c r="G20" s="4" t="s">
        <v>98</v>
      </c>
      <c r="H20" s="4" t="s">
        <v>24</v>
      </c>
      <c r="I20" s="4" t="s">
        <v>17</v>
      </c>
      <c r="J20" s="4" t="s">
        <v>99</v>
      </c>
    </row>
    <row r="21" customFormat="false" ht="15" hidden="false" customHeight="false" outlineLevel="0" collapsed="false">
      <c r="A21" s="3" t="s">
        <v>357</v>
      </c>
      <c r="B21" s="4" t="s">
        <v>100</v>
      </c>
      <c r="C21" s="4" t="s">
        <v>12</v>
      </c>
      <c r="D21" s="5" t="s">
        <v>13</v>
      </c>
      <c r="E21" s="3" t="n">
        <v>1</v>
      </c>
      <c r="F21" s="3" t="s">
        <v>14</v>
      </c>
      <c r="G21" s="4" t="s">
        <v>101</v>
      </c>
      <c r="H21" s="4" t="s">
        <v>16</v>
      </c>
      <c r="I21" s="4" t="s">
        <v>17</v>
      </c>
      <c r="J21" s="4" t="s">
        <v>102</v>
      </c>
    </row>
    <row r="22" customFormat="false" ht="29.85" hidden="false" customHeight="false" outlineLevel="0" collapsed="false">
      <c r="A22" s="3" t="s">
        <v>357</v>
      </c>
      <c r="B22" s="4" t="s">
        <v>100</v>
      </c>
      <c r="C22" s="4" t="s">
        <v>20</v>
      </c>
      <c r="D22" s="5" t="s">
        <v>21</v>
      </c>
      <c r="E22" s="3" t="n">
        <v>300</v>
      </c>
      <c r="F22" s="3" t="s">
        <v>311</v>
      </c>
      <c r="G22" s="4" t="s">
        <v>103</v>
      </c>
      <c r="H22" s="4" t="s">
        <v>24</v>
      </c>
      <c r="I22" s="4" t="s">
        <v>25</v>
      </c>
      <c r="J22" s="4" t="s">
        <v>26</v>
      </c>
    </row>
    <row r="23" customFormat="false" ht="15" hidden="false" customHeight="false" outlineLevel="0" collapsed="false">
      <c r="A23" s="3" t="s">
        <v>357</v>
      </c>
      <c r="B23" s="4" t="s">
        <v>100</v>
      </c>
      <c r="C23" s="4" t="s">
        <v>28</v>
      </c>
      <c r="D23" s="5" t="s">
        <v>29</v>
      </c>
      <c r="E23" s="3" t="n">
        <v>0</v>
      </c>
      <c r="F23" s="3" t="s">
        <v>30</v>
      </c>
      <c r="G23" s="4" t="s">
        <v>104</v>
      </c>
      <c r="H23" s="4" t="s">
        <v>24</v>
      </c>
      <c r="I23" s="4" t="s">
        <v>17</v>
      </c>
      <c r="J23" s="4" t="s">
        <v>32</v>
      </c>
    </row>
  </sheetData>
  <dataValidations count="3">
    <dataValidation allowBlank="true" errorStyle="stop" operator="between" showDropDown="false" showErrorMessage="false" showInputMessage="false" sqref="B2:B43" type="list">
      <formula1>"승온,반응,중단"</formula1>
      <formula2>0</formula2>
    </dataValidation>
    <dataValidation allowBlank="true" errorStyle="stop" operator="between" showDropDown="false" showErrorMessage="false" showInputMessage="false" sqref="H2:H43" type="list">
      <formula1>"필수,선택"</formula1>
      <formula2>0</formula2>
    </dataValidation>
    <dataValidation allowBlank="true" errorStyle="stop" operator="between" showDropDown="false" showErrorMessage="false" showInputMessage="false" sqref="I2:I43" type="list">
      <formula1>"기록될 것으로 예상,추가 측정이 필요할 것으로 예상,확인 전 판단 어려움"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2026-10-09T10:36:30Z</dcterms:created>
  <dc:creator>openpyxl</dc:creator>
  <dc:description/>
  <dc:language>en-US</dc:language>
  <cp:lastModifiedBy/>
  <dcterms:modified xsi:type="dcterms:W3CDTF">2026-10-09T10:36:30Z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